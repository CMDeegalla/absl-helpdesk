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Settings" sheetId="3" state="visible" r:id="rId5"/>
    <sheet name="All Devices (Master)" sheetId="4" state="visible" r:id="rId6"/>
    <sheet name="Box W" sheetId="5" state="visible" r:id="rId7"/>
    <sheet name="Box D1" sheetId="6" state="visible" r:id="rId8"/>
    <sheet name="Box D2" sheetId="7" state="visible" r:id="rId9"/>
    <sheet name="Box D3" sheetId="8" state="visible" r:id="rId10"/>
    <sheet name="Box D4" sheetId="9" state="visible" r:id="rId11"/>
    <sheet name="Box S1" sheetId="10" state="visible" r:id="rId12"/>
    <sheet name="Box K1" sheetId="11" state="visible" r:id="rId13"/>
    <sheet name="Box P1" sheetId="12" state="visible" r:id="rId14"/>
    <sheet name="Box U1" sheetId="13" state="visible" r:id="rId15"/>
  </sheets>
  <definedNames>
    <definedName function="false" hidden="true" localSheetId="3" name="_xlnm._FilterDatabase" vbProcedure="false">'All Devices (Master)'!$A$2:$X$252</definedName>
    <definedName function="false" hidden="true" localSheetId="5" name="_xlnm._FilterDatabase" vbProcedure="false">'Box D1'!$A$2:$I$27</definedName>
    <definedName function="false" hidden="true" localSheetId="6" name="_xlnm._FilterDatabase" vbProcedure="false">'Box D2'!$A$2:$I$27</definedName>
    <definedName function="false" hidden="true" localSheetId="7" name="_xlnm._FilterDatabase" vbProcedure="false">'Box D3'!$A$2:$I$27</definedName>
    <definedName function="false" hidden="true" localSheetId="8" name="_xlnm._FilterDatabase" vbProcedure="false">'Box D4'!$A$2:$I$27</definedName>
    <definedName function="false" hidden="true" localSheetId="10" name="_xlnm._FilterDatabase" vbProcedure="false">'Box K1'!$A$2:$I$22</definedName>
    <definedName function="false" hidden="true" localSheetId="11" name="_xlnm._FilterDatabase" vbProcedure="false">'Box P1'!$A$2:$I$22</definedName>
    <definedName function="false" hidden="true" localSheetId="9" name="_xlnm._FilterDatabase" vbProcedure="false">'Box S1'!$A$2:$I$47</definedName>
    <definedName function="false" hidden="true" localSheetId="12" name="_xlnm._FilterDatabase" vbProcedure="false">'Box U1'!$A$2:$I$22</definedName>
    <definedName function="false" hidden="true" localSheetId="4" name="_xlnm._FilterDatabase" vbProcedure="false">'Box W'!$A$2:$I$132</definedName>
    <definedName function="false" hidden="false" localSheetId="0" name="_xlnm.Print_Area" vbProcedure="false">README!$B$1:$B$68</definedName>
    <definedName function="false" hidden="false" name="DisplayCapacity" vbProcedure="false">Settings!$C$4</definedName>
    <definedName function="false" hidden="false" name="DisplayKW" vbProcedure="false">Settings!$C$11:$C$11</definedName>
    <definedName function="false" hidden="false" name="EmptyKW" vbProcedure="false">Settings!$C$23:$C$24</definedName>
    <definedName function="false" hidden="false" name="KeypadKW" vbProcedure="false">Settings!$C$12:$C$16</definedName>
    <definedName function="false" hidden="false" name="ModelList" vbProcedure="false">Settings!$C$28:$C$37</definedName>
    <definedName function="false" hidden="false" name="ModelMap" vbProcedure="false">Settings!$B$28:$C$37</definedName>
    <definedName function="false" hidden="false" name="PowerKW" vbProcedure="false">Settings!$C$17:$C$21</definedName>
    <definedName function="false" hidden="false" name="SensorKW" vbProcedure="false">Settings!$C$8:$C$10</definedName>
    <definedName function="false" hidden="false" name="SpeakerKW" vbProcedure="false">Settings!$C$22:$C$22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<sst xmlns="http://schemas.openxmlformats.org/spreadsheetml/2006/main" count="1025" uniqueCount="463">
  <si>
    <t xml:space="preserve">Fingerprint Device Inventory &amp; Classification System</t>
  </si>
  <si>
    <t xml:space="preserve">Master Workbook — auto-classifies every device into its correct storage box</t>
  </si>
  <si>
    <t xml:space="preserve">1) How to Use This Workbook — Overview</t>
  </si>
  <si>
    <t xml:space="preserve">This master workbook automatically inspects every device record and assigns it to the correct physical storage box, based on the fault keywords found in the form responses.</t>
  </si>
  <si>
    <t xml:space="preserve">The moment a row is entered on the "All Devices (Master)" sheet, its Assigned Box is calculated automatically by formula — and it instantly appears on the matching Box sheet too. No copy-pasting required.</t>
  </si>
  <si>
    <t xml:space="preserve">2) Box Definitions</t>
  </si>
  <si>
    <t xml:space="preserve">Box W — Fully working units — zero faults, ready to deploy</t>
  </si>
  <si>
    <t xml:space="preserve">Box D1–D4 — Display-fault units, spread across 4 boxes by capacity</t>
  </si>
  <si>
    <t xml:space="preserve">Box S1 — Sensor fault / missing fingerprint sensor</t>
  </si>
  <si>
    <t xml:space="preserve">Box K1 — Keypad / keyboard faults</t>
  </si>
  <si>
    <t xml:space="preserve">Box P1 — Power-related issues (no supply, auto shut-off)</t>
  </si>
  <si>
    <t xml:space="preserve">Box U1 — Unclassified, needs manual inspection, or donor/scrap unit</t>
  </si>
  <si>
    <t xml:space="preserve">3) How the Classification Logic Works</t>
  </si>
  <si>
    <t xml:space="preserve">The text in Fault, Remark and Working Statement is scanned against the keyword lists on the "Settings" sheet. If more than one problem is present, this priority order decides the box (most critical fault wins):</t>
  </si>
  <si>
    <t xml:space="preserve">1. Empty box / no physical device → U1</t>
  </si>
  <si>
    <t xml:space="preserve">2. Sensor fault → S1</t>
  </si>
  <si>
    <t xml:space="preserve">3. Display fault → D1–D4</t>
  </si>
  <si>
    <t xml:space="preserve">4. Keypad fault → K1</t>
  </si>
  <si>
    <t xml:space="preserve">5. Power fault → P1</t>
  </si>
  <si>
    <t xml:space="preserve">6. Any other/unspecified fault (e.g. speaker only) → U1 (flagged for manual review)</t>
  </si>
  <si>
    <t xml:space="preserve">7. No fault at all → W</t>
  </si>
  <si>
    <t xml:space="preserve">The "Notes / QC Flags" column automatically warns you when a device has multiple faults, a duplicate Serial No, or a repair status with no detail — so nothing slips through unnoticed.</t>
  </si>
  <si>
    <t xml:space="preserve">4) Adding New Form Responses</t>
  </si>
  <si>
    <t xml:space="preserve">Go to the "All Devices (Master)" sheet and paste the new Google Form row into the next blank row, columns B–J only (blue header). Everything from column K to V (green header) fills in automatically — do not type into those columns.</t>
  </si>
  <si>
    <t xml:space="preserve">Formulas are pre-built for 250 rows (144 current devices + 106 reserved for growth). If you exceed this, copy row 251's K–V formulas downward to extend, and increase the buffer rows on each Box sheet the same way.</t>
  </si>
  <si>
    <t xml:space="preserve">5) Adjusting Settings</t>
  </si>
  <si>
    <t xml:space="preserve">On the "Settings" sheet you can change how many units go in each D1–D4 box (Display Box Capacity), and add new keywords to any fault category to sharpen future classification — no formula editing required.</t>
  </si>
  <si>
    <t xml:space="preserve">6) Color Legend</t>
  </si>
  <si>
    <t xml:space="preserve">  Blue header  =  type or paste data here (source columns)</t>
  </si>
  <si>
    <t xml:space="preserve">  Green header  =  auto-calculated by formula, never type here</t>
  </si>
  <si>
    <t xml:space="preserve">Generated automatically from the Google Form response export. Prepared for internal office use — Component Testing &amp; Sorting Unit.</t>
  </si>
  <si>
    <t xml:space="preserve">Inventory Dashboard</t>
  </si>
  <si>
    <t xml:space="preserve">Total Devices Logged:</t>
  </si>
  <si>
    <t xml:space="preserve">Devices Needing Attention (Notes flagged):</t>
  </si>
  <si>
    <t xml:space="preserve">Last Response Received:</t>
  </si>
  <si>
    <t xml:space="preserve">Box</t>
  </si>
  <si>
    <t xml:space="preserve">Description</t>
  </si>
  <si>
    <t xml:space="preserve">Count</t>
  </si>
  <si>
    <t xml:space="preserve">% of Total</t>
  </si>
  <si>
    <t xml:space="preserve">W</t>
  </si>
  <si>
    <t xml:space="preserve">Fully working</t>
  </si>
  <si>
    <t xml:space="preserve">D1</t>
  </si>
  <si>
    <t xml:space="preserve">Display fault - group 1</t>
  </si>
  <si>
    <t xml:space="preserve">D2</t>
  </si>
  <si>
    <t xml:space="preserve">Display fault - group 2</t>
  </si>
  <si>
    <t xml:space="preserve">D3</t>
  </si>
  <si>
    <t xml:space="preserve">Display fault - group 3</t>
  </si>
  <si>
    <t xml:space="preserve">D4</t>
  </si>
  <si>
    <t xml:space="preserve">Display fault - group 4</t>
  </si>
  <si>
    <t xml:space="preserve">S1</t>
  </si>
  <si>
    <t xml:space="preserve">Sensor fault or missing</t>
  </si>
  <si>
    <t xml:space="preserve">K1</t>
  </si>
  <si>
    <t xml:space="preserve">Keypad fault</t>
  </si>
  <si>
    <t xml:space="preserve">P1</t>
  </si>
  <si>
    <t xml:space="preserve">Power issues</t>
  </si>
  <si>
    <t xml:space="preserve">U1</t>
  </si>
  <si>
    <t xml:space="preserve">Unclassified, needs review, or donor unit</t>
  </si>
  <si>
    <t xml:space="preserve">TOTAL</t>
  </si>
  <si>
    <t xml:space="preserve">Settings &amp; Configuration</t>
  </si>
  <si>
    <t xml:space="preserve">Display Box Capacity (units per D box):</t>
  </si>
  <si>
    <t xml:space="preserve">← edit this number to rebalance D1–D4</t>
  </si>
  <si>
    <t xml:space="preserve">Fault Classification Keywords</t>
  </si>
  <si>
    <t xml:space="preserve">Category</t>
  </si>
  <si>
    <t xml:space="preserve">Keyword (add new rows within a category block to sharpen matching)</t>
  </si>
  <si>
    <t xml:space="preserve">Sensor</t>
  </si>
  <si>
    <t xml:space="preserve">sensor</t>
  </si>
  <si>
    <t xml:space="preserve">finger print scanner</t>
  </si>
  <si>
    <t xml:space="preserve">fingerprint scanner</t>
  </si>
  <si>
    <t xml:space="preserve">Display</t>
  </si>
  <si>
    <t xml:space="preserve">display</t>
  </si>
  <si>
    <t xml:space="preserve">Keypad</t>
  </si>
  <si>
    <t xml:space="preserve">keypad</t>
  </si>
  <si>
    <t xml:space="preserve">key pad</t>
  </si>
  <si>
    <t xml:space="preserve">key board</t>
  </si>
  <si>
    <t xml:space="preserve">keyboard</t>
  </si>
  <si>
    <t xml:space="preserve">keys</t>
  </si>
  <si>
    <t xml:space="preserve">Power</t>
  </si>
  <si>
    <t xml:space="preserve">power</t>
  </si>
  <si>
    <t xml:space="preserve">turn on</t>
  </si>
  <si>
    <t xml:space="preserve">turn it on</t>
  </si>
  <si>
    <t xml:space="preserve">switches off</t>
  </si>
  <si>
    <t xml:space="preserve">turn off</t>
  </si>
  <si>
    <t xml:space="preserve">Speaker</t>
  </si>
  <si>
    <t xml:space="preserve">speaker</t>
  </si>
  <si>
    <t xml:space="preserve">Empty</t>
  </si>
  <si>
    <t xml:space="preserve">empty</t>
  </si>
  <si>
    <t xml:space="preserve">emty</t>
  </si>
  <si>
    <t xml:space="preserve">Model Name Standardization</t>
  </si>
  <si>
    <t xml:space="preserve">Original (as typed on form)</t>
  </si>
  <si>
    <t xml:space="preserve">Standardized Name</t>
  </si>
  <si>
    <t xml:space="preserve">X628</t>
  </si>
  <si>
    <t xml:space="preserve">X-628</t>
  </si>
  <si>
    <t xml:space="preserve">TX628</t>
  </si>
  <si>
    <t xml:space="preserve">X628-C</t>
  </si>
  <si>
    <t xml:space="preserve">X628 Plus</t>
  </si>
  <si>
    <t xml:space="preserve">Iclock3000</t>
  </si>
  <si>
    <t xml:space="preserve">iClock3000</t>
  </si>
  <si>
    <t xml:space="preserve">iClock700</t>
  </si>
  <si>
    <t xml:space="preserve">SlikFP 100TA</t>
  </si>
  <si>
    <t xml:space="preserve">G1</t>
  </si>
  <si>
    <t xml:space="preserve">K14</t>
  </si>
  <si>
    <t xml:space="preserve">All Devices — Master Data &amp; Auto-Classification</t>
  </si>
  <si>
    <t xml:space="preserve">No.</t>
  </si>
  <si>
    <t xml:space="preserve">Timestamp</t>
  </si>
  <si>
    <t xml:space="preserve">Model Name
(Original)</t>
  </si>
  <si>
    <t xml:space="preserve">Model Name
(Standardized)</t>
  </si>
  <si>
    <t xml:space="preserve">Location</t>
  </si>
  <si>
    <t xml:space="preserve">Serial No</t>
  </si>
  <si>
    <t xml:space="preserve">Working Statement</t>
  </si>
  <si>
    <t xml:space="preserve">Fault (If any)</t>
  </si>
  <si>
    <t xml:space="preserve">Remark (Other Informations)</t>
  </si>
  <si>
    <t xml:space="preserve">Display Colour</t>
  </si>
  <si>
    <t xml:space="preserve">Combined Text</t>
  </si>
  <si>
    <t xml:space="preserve">Sensor
Fault?</t>
  </si>
  <si>
    <t xml:space="preserve">Display
Fault?</t>
  </si>
  <si>
    <t xml:space="preserve">Keypad
Fault?</t>
  </si>
  <si>
    <t xml:space="preserve">Power
Fault?</t>
  </si>
  <si>
    <t xml:space="preserve">Speaker
Fault?</t>
  </si>
  <si>
    <t xml:space="preserve">Empty /
No Device?</t>
  </si>
  <si>
    <t xml:space="preserve">Needs
Attention?</t>
  </si>
  <si>
    <t xml:space="preserve">Display
Rank</t>
  </si>
  <si>
    <t xml:space="preserve">Assigned
Box</t>
  </si>
  <si>
    <t xml:space="preserve">Sort Key</t>
  </si>
  <si>
    <t xml:space="preserve">Notes / QC Flags</t>
  </si>
  <si>
    <t xml:space="preserve">Score (Form)</t>
  </si>
  <si>
    <t xml:space="preserve">Email Address (Form)</t>
  </si>
  <si>
    <t xml:space="preserve">Kandy 02</t>
  </si>
  <si>
    <t xml:space="preserve">A5SA182160003</t>
  </si>
  <si>
    <t xml:space="preserve">Working, No Power Supply</t>
  </si>
  <si>
    <t xml:space="preserve">Black &amp; White</t>
  </si>
  <si>
    <t xml:space="preserve">Kandy 03</t>
  </si>
  <si>
    <t xml:space="preserve">6335173400003</t>
  </si>
  <si>
    <t xml:space="preserve">Working</t>
  </si>
  <si>
    <t xml:space="preserve">Colour</t>
  </si>
  <si>
    <t xml:space="preserve">Kandy - KCC</t>
  </si>
  <si>
    <t xml:space="preserve">6006144100022</t>
  </si>
  <si>
    <t xml:space="preserve">Kegalle</t>
  </si>
  <si>
    <t xml:space="preserve">6006171200007</t>
  </si>
  <si>
    <t xml:space="preserve">Negambo- Thelwaththa</t>
  </si>
  <si>
    <t xml:space="preserve">CDQ9200760081</t>
  </si>
  <si>
    <t xml:space="preserve">Thihariya</t>
  </si>
  <si>
    <t xml:space="preserve">CDQ9193960102</t>
  </si>
  <si>
    <t xml:space="preserve">Have to Repair</t>
  </si>
  <si>
    <t xml:space="preserve">Kadawatha CC</t>
  </si>
  <si>
    <t xml:space="preserve">0NQ9193960105</t>
  </si>
  <si>
    <t xml:space="preserve">Display Error</t>
  </si>
  <si>
    <t xml:space="preserve">Negambo- Kurana</t>
  </si>
  <si>
    <t xml:space="preserve">CDQ9200760084</t>
  </si>
  <si>
    <t xml:space="preserve">Negambo 02</t>
  </si>
  <si>
    <t xml:space="preserve">CDQ9184760006</t>
  </si>
  <si>
    <t xml:space="preserve">Working, Have to Repair</t>
  </si>
  <si>
    <t xml:space="preserve">Keypad have to repair</t>
  </si>
  <si>
    <t xml:space="preserve">Kirillawela</t>
  </si>
  <si>
    <t xml:space="preserve">6160062164907</t>
  </si>
  <si>
    <t xml:space="preserve">Chillaw</t>
  </si>
  <si>
    <t xml:space="preserve">5128193500007</t>
  </si>
  <si>
    <t xml:space="preserve">No sensor and also have power issue some time device is off automatically</t>
  </si>
  <si>
    <t xml:space="preserve">Gampaha</t>
  </si>
  <si>
    <t xml:space="preserve">A5RN174660002</t>
  </si>
  <si>
    <t xml:space="preserve">Minuwangoda</t>
  </si>
  <si>
    <t xml:space="preserve">A5SA182160001</t>
  </si>
  <si>
    <t xml:space="preserve">Have to repair keypad</t>
  </si>
  <si>
    <t xml:space="preserve">Andiambalama</t>
  </si>
  <si>
    <t xml:space="preserve">0065653040014</t>
  </si>
  <si>
    <t xml:space="preserve">Display is not clear</t>
  </si>
  <si>
    <t xml:space="preserve">Ganemulla</t>
  </si>
  <si>
    <t xml:space="preserve">AEG8243600005</t>
  </si>
  <si>
    <t xml:space="preserve">Yakkala</t>
  </si>
  <si>
    <t xml:space="preserve">AEYW092380605</t>
  </si>
  <si>
    <t xml:space="preserve">Miriswaththa</t>
  </si>
  <si>
    <t xml:space="preserve">CDQ9192160004</t>
  </si>
  <si>
    <t xml:space="preserve">Thalawathugoda</t>
  </si>
  <si>
    <t xml:space="preserve">6006183600002</t>
  </si>
  <si>
    <t xml:space="preserve">Gothatuwa</t>
  </si>
  <si>
    <t xml:space="preserve">A7PT18036001</t>
  </si>
  <si>
    <t xml:space="preserve">No Power Supply</t>
  </si>
  <si>
    <t xml:space="preserve">Rathmalana</t>
  </si>
  <si>
    <t xml:space="preserve">6006154200001</t>
  </si>
  <si>
    <t xml:space="preserve">Display  have to replace and sensor board have issue some time </t>
  </si>
  <si>
    <t xml:space="preserve">Anuradhapura</t>
  </si>
  <si>
    <t xml:space="preserve">6160062164904</t>
  </si>
  <si>
    <t xml:space="preserve">Kappetipola</t>
  </si>
  <si>
    <t xml:space="preserve">CDQ9224660008</t>
  </si>
  <si>
    <t xml:space="preserve"> Working, Have to Repair</t>
  </si>
  <si>
    <t xml:space="preserve">No Sensor</t>
  </si>
  <si>
    <t xml:space="preserve">Piliyandala 02</t>
  </si>
  <si>
    <t xml:space="preserve">6335172500115</t>
  </si>
  <si>
    <t xml:space="preserve">Mathale</t>
  </si>
  <si>
    <t xml:space="preserve">A5RN173460004</t>
  </si>
  <si>
    <t xml:space="preserve">Kesbewa 02</t>
  </si>
  <si>
    <t xml:space="preserve">6006165100002</t>
  </si>
  <si>
    <t xml:space="preserve">Sensor is not working </t>
  </si>
  <si>
    <t xml:space="preserve">Mathale 02</t>
  </si>
  <si>
    <t xml:space="preserve">6335183600001</t>
  </si>
  <si>
    <t xml:space="preserve">Seeduwa</t>
  </si>
  <si>
    <t xml:space="preserve">CDQ9193960103</t>
  </si>
  <si>
    <t xml:space="preserve">Sensor is not working and also have power issue some times</t>
  </si>
  <si>
    <t xml:space="preserve">Shangri La</t>
  </si>
  <si>
    <t xml:space="preserve">CDQ9191460006</t>
  </si>
  <si>
    <t xml:space="preserve">Katugasthota 02</t>
  </si>
  <si>
    <t xml:space="preserve">6006171200004</t>
  </si>
  <si>
    <t xml:space="preserve">Pallekele</t>
  </si>
  <si>
    <t xml:space="preserve">AEG8244700002</t>
  </si>
  <si>
    <t xml:space="preserve">No sensor and also have power issue some time device is off automatically </t>
  </si>
  <si>
    <t xml:space="preserve">Katugasthota</t>
  </si>
  <si>
    <t xml:space="preserve">6006173400006</t>
  </si>
  <si>
    <t xml:space="preserve">Thangalle</t>
  </si>
  <si>
    <t xml:space="preserve">CDQ9193960101</t>
  </si>
  <si>
    <t xml:space="preserve">Ja ela 02</t>
  </si>
  <si>
    <t xml:space="preserve">AEG8243600001</t>
  </si>
  <si>
    <t xml:space="preserve">Mawanella</t>
  </si>
  <si>
    <t xml:space="preserve">CDQ9200760082</t>
  </si>
  <si>
    <t xml:space="preserve">Mathara Boardway</t>
  </si>
  <si>
    <t xml:space="preserve">65653040004</t>
  </si>
  <si>
    <t xml:space="preserve">Sinharamulla</t>
  </si>
  <si>
    <t xml:space="preserve">6160052016817</t>
  </si>
  <si>
    <t xml:space="preserve">Kadawatha Support Center</t>
  </si>
  <si>
    <t xml:space="preserve">4903184700003</t>
  </si>
  <si>
    <t xml:space="preserve">Dehiwala</t>
  </si>
  <si>
    <t xml:space="preserve">CDQ9191460007</t>
  </si>
  <si>
    <t xml:space="preserve">Kudaoya</t>
  </si>
  <si>
    <t xml:space="preserve">AEYW092380603</t>
  </si>
  <si>
    <t xml:space="preserve">Awissawella</t>
  </si>
  <si>
    <t xml:space="preserve">6160062170011</t>
  </si>
  <si>
    <t xml:space="preserve">As soon as it turn it on, it switches off again by itself.</t>
  </si>
  <si>
    <t xml:space="preserve">Kochchikade</t>
  </si>
  <si>
    <t xml:space="preserve">A5RN174660005</t>
  </si>
  <si>
    <t xml:space="preserve">Display is not clear </t>
  </si>
  <si>
    <t xml:space="preserve">Kaluthara</t>
  </si>
  <si>
    <t xml:space="preserve">6006170800001</t>
  </si>
  <si>
    <t xml:space="preserve">Sensor is not working</t>
  </si>
  <si>
    <t xml:space="preserve">Wijerama</t>
  </si>
  <si>
    <t xml:space="preserve">0065653040007</t>
  </si>
  <si>
    <t xml:space="preserve">Aluthgama</t>
  </si>
  <si>
    <t xml:space="preserve">0067072480008</t>
  </si>
  <si>
    <t xml:space="preserve">Maravila</t>
  </si>
  <si>
    <t xml:space="preserve">6335183600003</t>
  </si>
  <si>
    <t xml:space="preserve">Ambalangoda</t>
  </si>
  <si>
    <t xml:space="preserve">6160052016815</t>
  </si>
  <si>
    <t xml:space="preserve">Puttalama</t>
  </si>
  <si>
    <t xml:space="preserve">6006154200002</t>
  </si>
  <si>
    <t xml:space="preserve">Kaluthara 02</t>
  </si>
  <si>
    <t xml:space="preserve">6160062164903</t>
  </si>
  <si>
    <t xml:space="preserve">Duplication road</t>
  </si>
  <si>
    <t xml:space="preserve">OLK6110086111900001</t>
  </si>
  <si>
    <t xml:space="preserve">Kotahena</t>
  </si>
  <si>
    <t xml:space="preserve">0065172410002</t>
  </si>
  <si>
    <t xml:space="preserve">Display is not clear, Speaker is not working</t>
  </si>
  <si>
    <t xml:space="preserve">Rajagiriya</t>
  </si>
  <si>
    <t xml:space="preserve">CDQ9191460001</t>
  </si>
  <si>
    <t xml:space="preserve">Cotta road</t>
  </si>
  <si>
    <t xml:space="preserve">AEG8243600002</t>
  </si>
  <si>
    <t xml:space="preserve">Aggona</t>
  </si>
  <si>
    <t xml:space="preserve">AEG8244700003</t>
  </si>
  <si>
    <t xml:space="preserve">Eldeniya</t>
  </si>
  <si>
    <t xml:space="preserve">5128192400004</t>
  </si>
  <si>
    <t xml:space="preserve">Eheliyagoda</t>
  </si>
  <si>
    <t xml:space="preserve">CDQ9194460066</t>
  </si>
  <si>
    <t xml:space="preserve">Ja ela</t>
  </si>
  <si>
    <t xml:space="preserve">CDQ9194460068</t>
  </si>
  <si>
    <t xml:space="preserve">Karapitiya</t>
  </si>
  <si>
    <t xml:space="preserve">6160052016819</t>
  </si>
  <si>
    <t xml:space="preserve">Wadduwa</t>
  </si>
  <si>
    <t xml:space="preserve">6160062170056</t>
  </si>
  <si>
    <t xml:space="preserve">Speaker is not working</t>
  </si>
  <si>
    <t xml:space="preserve">Jaffna Dimo</t>
  </si>
  <si>
    <t xml:space="preserve">OLK7030087030600012</t>
  </si>
  <si>
    <t xml:space="preserve">AEG823490082</t>
  </si>
  <si>
    <t xml:space="preserve">Nugegoda 02</t>
  </si>
  <si>
    <t xml:space="preserve">AEG82349000081</t>
  </si>
  <si>
    <t xml:space="preserve">x628-C</t>
  </si>
  <si>
    <t xml:space="preserve">Thurstan road</t>
  </si>
  <si>
    <t xml:space="preserve">AEG8234800001</t>
  </si>
  <si>
    <t xml:space="preserve">Rathnapitiya</t>
  </si>
  <si>
    <t xml:space="preserve">0063022520001</t>
  </si>
  <si>
    <t xml:space="preserve">Ragama</t>
  </si>
  <si>
    <t xml:space="preserve">0065653040015</t>
  </si>
  <si>
    <t xml:space="preserve">Nuwaraeliya</t>
  </si>
  <si>
    <t xml:space="preserve">CDQ9224660007</t>
  </si>
  <si>
    <t xml:space="preserve">Not Working, Have to Repair</t>
  </si>
  <si>
    <t xml:space="preserve">No finger print Scanner </t>
  </si>
  <si>
    <t xml:space="preserve">have power issue also automatically turn off </t>
  </si>
  <si>
    <t xml:space="preserve">Kohuwala 02</t>
  </si>
  <si>
    <t xml:space="preserve">6006183600001</t>
  </si>
  <si>
    <t xml:space="preserve">Mathara</t>
  </si>
  <si>
    <t xml:space="preserve">0065653040004</t>
  </si>
  <si>
    <t xml:space="preserve">display is little bit unclear </t>
  </si>
  <si>
    <t xml:space="preserve">Galle</t>
  </si>
  <si>
    <t xml:space="preserve">0060972240003</t>
  </si>
  <si>
    <t xml:space="preserve">Pitakotte</t>
  </si>
  <si>
    <t xml:space="preserve">6006173400005</t>
  </si>
  <si>
    <t xml:space="preserve">display is little bit unclear</t>
  </si>
  <si>
    <t xml:space="preserve">Mulleriyawa</t>
  </si>
  <si>
    <t xml:space="preserve">A5SA182660002</t>
  </si>
  <si>
    <t xml:space="preserve">Tyre Junction</t>
  </si>
  <si>
    <t xml:space="preserve">0065172410001</t>
  </si>
  <si>
    <t xml:space="preserve">Mathara 02</t>
  </si>
  <si>
    <t xml:space="preserve">A5RN173460003</t>
  </si>
  <si>
    <t xml:space="preserve">Edmonton</t>
  </si>
  <si>
    <t xml:space="preserve">6006171200001</t>
  </si>
  <si>
    <t xml:space="preserve">Rajagiriya 02</t>
  </si>
  <si>
    <t xml:space="preserve">6006154200005</t>
  </si>
  <si>
    <t xml:space="preserve">display is little bit un clear </t>
  </si>
  <si>
    <t xml:space="preserve">Vidyala Junction</t>
  </si>
  <si>
    <t xml:space="preserve">6160052016814</t>
  </si>
  <si>
    <t xml:space="preserve">Kiribathgoda 01</t>
  </si>
  <si>
    <t xml:space="preserve">0065653040006</t>
  </si>
  <si>
    <t xml:space="preserve">display is not clear</t>
  </si>
  <si>
    <t xml:space="preserve">Galle 02</t>
  </si>
  <si>
    <t xml:space="preserve">6335203300002</t>
  </si>
  <si>
    <t xml:space="preserve">Athurugiriya 02</t>
  </si>
  <si>
    <t xml:space="preserve">6006171200006</t>
  </si>
  <si>
    <t xml:space="preserve">Wattala 02</t>
  </si>
  <si>
    <t xml:space="preserve">600615280002</t>
  </si>
  <si>
    <t xml:space="preserve">kesbewa</t>
  </si>
  <si>
    <t xml:space="preserve">0006141100011</t>
  </si>
  <si>
    <t xml:space="preserve">Enderamulla</t>
  </si>
  <si>
    <t xml:space="preserve">6006165100003</t>
  </si>
  <si>
    <t xml:space="preserve">Gamsaba</t>
  </si>
  <si>
    <t xml:space="preserve">0065653040016</t>
  </si>
  <si>
    <t xml:space="preserve">display is unclear</t>
  </si>
  <si>
    <t xml:space="preserve">Moratu Mall</t>
  </si>
  <si>
    <t xml:space="preserve">6006173400007</t>
  </si>
  <si>
    <t xml:space="preserve">Thalawathugoda 02</t>
  </si>
  <si>
    <t xml:space="preserve">OLK609001608170</t>
  </si>
  <si>
    <t xml:space="preserve">Boralesgamuwa</t>
  </si>
  <si>
    <t xml:space="preserve">Boralesgamuwa 02</t>
  </si>
  <si>
    <t xml:space="preserve">6006152800001</t>
  </si>
  <si>
    <t xml:space="preserve">Mahabage 02</t>
  </si>
  <si>
    <t xml:space="preserve">OLK6090016081700003</t>
  </si>
  <si>
    <t xml:space="preserve">Nawala</t>
  </si>
  <si>
    <t xml:space="preserve">6006152300002</t>
  </si>
  <si>
    <t xml:space="preserve">display is little bit un clear</t>
  </si>
  <si>
    <t xml:space="preserve">Akuregoda</t>
  </si>
  <si>
    <t xml:space="preserve">CDQ9192160003</t>
  </si>
  <si>
    <t xml:space="preserve">
</t>
  </si>
  <si>
    <t xml:space="preserve">Pittugala</t>
  </si>
  <si>
    <t xml:space="preserve">0063022520002</t>
  </si>
  <si>
    <t xml:space="preserve">Pitakotte 02</t>
  </si>
  <si>
    <t xml:space="preserve">Emty Box</t>
  </si>
  <si>
    <t xml:space="preserve">It was taken to Piliyandala for a temporary installation.</t>
  </si>
  <si>
    <t xml:space="preserve">Ethul kotte</t>
  </si>
  <si>
    <t xml:space="preserve">0065653040013</t>
  </si>
  <si>
    <t xml:space="preserve">Delpe</t>
  </si>
  <si>
    <t xml:space="preserve">AEYW092380606</t>
  </si>
  <si>
    <t xml:space="preserve">kottawa 03</t>
  </si>
  <si>
    <t xml:space="preserve">Kaduwela</t>
  </si>
  <si>
    <t xml:space="preserve">6160062164902</t>
  </si>
  <si>
    <t xml:space="preserve">Moratuwa 03</t>
  </si>
  <si>
    <t xml:space="preserve">6006171200009</t>
  </si>
  <si>
    <t xml:space="preserve">Kalubowila</t>
  </si>
  <si>
    <t xml:space="preserve">0065172410021</t>
  </si>
  <si>
    <t xml:space="preserve">Maharagama 02</t>
  </si>
  <si>
    <t xml:space="preserve">6006162500003</t>
  </si>
  <si>
    <t xml:space="preserve">Kottawa 02</t>
  </si>
  <si>
    <t xml:space="preserve">0006141600001</t>
  </si>
  <si>
    <t xml:space="preserve">Wellampitiya</t>
  </si>
  <si>
    <t xml:space="preserve">0006141100012</t>
  </si>
  <si>
    <t xml:space="preserve">Attidiya 02</t>
  </si>
  <si>
    <t xml:space="preserve">A5RN173460002</t>
  </si>
  <si>
    <t xml:space="preserve">Not have Power Supply, Keypad Issue</t>
  </si>
  <si>
    <t xml:space="preserve">Nalluruwa</t>
  </si>
  <si>
    <t xml:space="preserve">A5RN174660004</t>
  </si>
  <si>
    <t xml:space="preserve">Homagama</t>
  </si>
  <si>
    <t xml:space="preserve">6006162500001</t>
  </si>
  <si>
    <t xml:space="preserve">Panadura 03</t>
  </si>
  <si>
    <t xml:space="preserve">A5RN173460001</t>
  </si>
  <si>
    <t xml:space="preserve">Sooriyawewa CC</t>
  </si>
  <si>
    <t xml:space="preserve">AEG8243600003</t>
  </si>
  <si>
    <t xml:space="preserve">Thalawathugoda 03</t>
  </si>
  <si>
    <t xml:space="preserve">CQUJ224660031</t>
  </si>
  <si>
    <t xml:space="preserve">Not Working</t>
  </si>
  <si>
    <t xml:space="preserve">The device won't turn on. </t>
  </si>
  <si>
    <t xml:space="preserve">Arangala</t>
  </si>
  <si>
    <t xml:space="preserve">6006173400001</t>
  </si>
  <si>
    <t xml:space="preserve">Gampola</t>
  </si>
  <si>
    <t xml:space="preserve">CDQ9184760011</t>
  </si>
  <si>
    <t xml:space="preserve">Kelaniya</t>
  </si>
  <si>
    <t xml:space="preserve">6006162500004</t>
  </si>
  <si>
    <t xml:space="preserve">Embilipitiya</t>
  </si>
  <si>
    <t xml:space="preserve">A5T2180360103</t>
  </si>
  <si>
    <t xml:space="preserve">panadura 02</t>
  </si>
  <si>
    <t xml:space="preserve">0067072480006</t>
  </si>
  <si>
    <t xml:space="preserve">Kerawalapitiya</t>
  </si>
  <si>
    <t xml:space="preserve">6006165100001</t>
  </si>
  <si>
    <t xml:space="preserve">Kiribathgoda 02</t>
  </si>
  <si>
    <t xml:space="preserve">6006171200002</t>
  </si>
  <si>
    <t xml:space="preserve">Gorakana</t>
  </si>
  <si>
    <t xml:space="preserve">A5SA182660005</t>
  </si>
  <si>
    <t xml:space="preserve">Mount Lavinia</t>
  </si>
  <si>
    <t xml:space="preserve">0069373370001</t>
  </si>
  <si>
    <t xml:space="preserve">Thalahena</t>
  </si>
  <si>
    <t xml:space="preserve">A5RN174660001</t>
  </si>
  <si>
    <t xml:space="preserve">Finger print Scanner is not working</t>
  </si>
  <si>
    <t xml:space="preserve">display is not clear and, in key pad some keys have issues</t>
  </si>
  <si>
    <t xml:space="preserve">Embuldeniya</t>
  </si>
  <si>
    <t xml:space="preserve">006141600002</t>
  </si>
  <si>
    <t xml:space="preserve">Maharagama 01</t>
  </si>
  <si>
    <t xml:space="preserve">0060972240002</t>
  </si>
  <si>
    <t xml:space="preserve">display is not clear </t>
  </si>
  <si>
    <t xml:space="preserve">Mathugama</t>
  </si>
  <si>
    <t xml:space="preserve">6160062170009</t>
  </si>
  <si>
    <t xml:space="preserve">Bandaragama</t>
  </si>
  <si>
    <t xml:space="preserve">A5SA182660004</t>
  </si>
  <si>
    <t xml:space="preserve">Rathnapura 01</t>
  </si>
  <si>
    <t xml:space="preserve">6006171200003</t>
  </si>
  <si>
    <t xml:space="preserve">Jaffna cc</t>
  </si>
  <si>
    <t xml:space="preserve">AEG8243600004</t>
  </si>
  <si>
    <t xml:space="preserve">Horana</t>
  </si>
  <si>
    <t xml:space="preserve">CDQ9191460010</t>
  </si>
  <si>
    <t xml:space="preserve">Rathnapura 02</t>
  </si>
  <si>
    <t xml:space="preserve">CDQ9224660009</t>
  </si>
  <si>
    <t xml:space="preserve">Jaffna</t>
  </si>
  <si>
    <t xml:space="preserve">AEG8244700001</t>
  </si>
  <si>
    <t xml:space="preserve">Adikarigama CC</t>
  </si>
  <si>
    <t xml:space="preserve">6160062170010</t>
  </si>
  <si>
    <t xml:space="preserve">Sampath bank Stock</t>
  </si>
  <si>
    <t xml:space="preserve">Thambuththegama</t>
  </si>
  <si>
    <t xml:space="preserve">AEG8242400001</t>
  </si>
  <si>
    <t xml:space="preserve">Maharagama 03</t>
  </si>
  <si>
    <t xml:space="preserve">6160062164905</t>
  </si>
  <si>
    <t xml:space="preserve">Kurunegala 03</t>
  </si>
  <si>
    <t xml:space="preserve">A5SA182660003</t>
  </si>
  <si>
    <t xml:space="preserve">display is not working</t>
  </si>
  <si>
    <t xml:space="preserve">Hokandara</t>
  </si>
  <si>
    <t xml:space="preserve">6160062170012</t>
  </si>
  <si>
    <t xml:space="preserve">Katubedda</t>
  </si>
  <si>
    <t xml:space="preserve">AEYW092380607</t>
  </si>
  <si>
    <t xml:space="preserve">Kurunegala 02</t>
  </si>
  <si>
    <t xml:space="preserve">6006171200008</t>
  </si>
  <si>
    <t xml:space="preserve">Sigiriya cc</t>
  </si>
  <si>
    <t xml:space="preserve">A5RN173460005</t>
  </si>
  <si>
    <t xml:space="preserve">Cris cat</t>
  </si>
  <si>
    <t xml:space="preserve">6006144100021</t>
  </si>
  <si>
    <t xml:space="preserve">unknown</t>
  </si>
  <si>
    <t xml:space="preserve">0060972240004</t>
  </si>
  <si>
    <t xml:space="preserve">display is broken </t>
  </si>
  <si>
    <t xml:space="preserve">CDQ9193960106</t>
  </si>
  <si>
    <t xml:space="preserve">CDQ9184760005</t>
  </si>
  <si>
    <t xml:space="preserve">CDQ9184760009</t>
  </si>
  <si>
    <t xml:space="preserve">0006141100014</t>
  </si>
  <si>
    <t xml:space="preserve">finger print Scanner and key board not working properly</t>
  </si>
  <si>
    <t xml:space="preserve">X628 plus</t>
  </si>
  <si>
    <t xml:space="preserve">Wennapuwa</t>
  </si>
  <si>
    <t xml:space="preserve">A5SA182660001</t>
  </si>
  <si>
    <t xml:space="preserve">Beruwala</t>
  </si>
  <si>
    <t xml:space="preserve">0060972240005</t>
  </si>
  <si>
    <t xml:space="preserve">Marine Drive</t>
  </si>
  <si>
    <t xml:space="preserve">6006154200003</t>
  </si>
  <si>
    <t xml:space="preserve">Piliyandala</t>
  </si>
  <si>
    <t xml:space="preserve">6006173400003</t>
  </si>
  <si>
    <t xml:space="preserve">Thibirigasyaya</t>
  </si>
  <si>
    <t xml:space="preserve">6006170800002</t>
  </si>
  <si>
    <t xml:space="preserve">Box W — Fully Working Units</t>
  </si>
  <si>
    <t xml:space="preserve">Model
(Standardized)</t>
  </si>
  <si>
    <t xml:space="preserve">Box D1 — Display Fault, Group 1</t>
  </si>
  <si>
    <t xml:space="preserve">Box D2 — Display Fault, Group 2</t>
  </si>
  <si>
    <t xml:space="preserve">Box D3 — Display Fault, Group 3</t>
  </si>
  <si>
    <t xml:space="preserve">Box D4 — Display Fault, Group 4</t>
  </si>
  <si>
    <t xml:space="preserve">Box S1 — Sensor Fault / Missing Sensor</t>
  </si>
  <si>
    <t xml:space="preserve">Box K1 — Keypad / Keyboard Fault</t>
  </si>
  <si>
    <t xml:space="preserve">Box P1 — Power Issues</t>
  </si>
  <si>
    <t xml:space="preserve">Box U1 — Unclassified / Needs Inspection / Donor Units</t>
  </si>
</sst>
</file>

<file path=xl/styles.xml><?xml version="1.0" encoding="utf-8"?>
<styleSheet xmlns="http://schemas.openxmlformats.org/spreadsheetml/2006/main">
  <numFmts count="5">
    <numFmt numFmtId="164" formatCode="General"/>
    <numFmt numFmtId="165" formatCode="General"/>
    <numFmt numFmtId="166" formatCode="yyyy\-mm\-dd\ hh:mm"/>
    <numFmt numFmtId="167" formatCode="0.0%"/>
    <numFmt numFmtId="168" formatCode="yyyy\-mm\-dd\ hh:mm:ss"/>
  </numFmts>
  <fonts count="24">
    <font>
      <sz val="11"/>
      <color theme="1"/>
      <name val="Calibri"/>
      <family val="2"/>
      <charset val="1"/>
    </font>
    <font>
      <sz val="10"/>
      <name val="Arial"/>
      <family val="0"/>
    </font>
    <font>
      <sz val="10"/>
      <name val="Arial"/>
      <family val="0"/>
    </font>
    <font>
      <sz val="10"/>
      <name val="Arial"/>
      <family val="0"/>
    </font>
    <font>
      <b val="true"/>
      <sz val="15"/>
      <color rgb="FF1F4E78"/>
      <name val="Arial"/>
      <family val="0"/>
      <charset val="1"/>
    </font>
    <font>
      <i val="true"/>
      <sz val="11"/>
      <color rgb="FF555555"/>
      <name val="Arial"/>
      <family val="0"/>
      <charset val="1"/>
    </font>
    <font>
      <b val="true"/>
      <sz val="12"/>
      <color rgb="FF1F4E78"/>
      <name val="Arial"/>
      <family val="0"/>
      <charset val="1"/>
    </font>
    <font>
      <sz val="10"/>
      <name val="Arial"/>
      <family val="0"/>
      <charset val="1"/>
    </font>
    <font>
      <i val="true"/>
      <sz val="10"/>
      <color rgb="FF555555"/>
      <name val="Arial"/>
      <family val="0"/>
      <charset val="1"/>
    </font>
    <font>
      <b val="true"/>
      <sz val="11"/>
      <color rgb="FFFFFFFF"/>
      <name val="Arial"/>
      <family val="0"/>
      <charset val="1"/>
    </font>
    <font>
      <i val="true"/>
      <sz val="9"/>
      <color rgb="FF999999"/>
      <name val="Arial"/>
      <family val="0"/>
      <charset val="1"/>
    </font>
    <font>
      <b val="true"/>
      <sz val="16"/>
      <color rgb="FFFFFFFF"/>
      <name val="Arial"/>
      <family val="0"/>
      <charset val="1"/>
    </font>
    <font>
      <b val="true"/>
      <sz val="10"/>
      <name val="Arial"/>
      <family val="0"/>
      <charset val="1"/>
    </font>
    <font>
      <b val="true"/>
      <sz val="12"/>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1F4E78"/>
      <name val="Arial"/>
      <family val="0"/>
      <charset val="1"/>
    </font>
    <font>
      <b val="true"/>
      <sz val="11"/>
      <color rgb="FFC00000"/>
      <name val="Arial"/>
      <family val="0"/>
      <charset val="1"/>
    </font>
    <font>
      <i val="true"/>
      <sz val="9"/>
      <color rgb="FF777777"/>
      <name val="Arial"/>
      <family val="0"/>
      <charset val="1"/>
    </font>
    <font>
      <b val="true"/>
      <sz val="14"/>
      <color rgb="FFFFFFFF"/>
      <name val="Arial"/>
      <family val="0"/>
      <charset val="1"/>
    </font>
    <font>
      <b val="true"/>
      <sz val="10"/>
      <color rgb="FFFFFFFF"/>
      <name val="Arial"/>
      <family val="0"/>
      <charset val="1"/>
    </font>
    <font>
      <sz val="10"/>
      <color rgb="FFB7B7B7"/>
      <name val="Arial"/>
      <family val="0"/>
      <charset val="1"/>
    </font>
    <font>
      <b val="true"/>
      <sz val="13"/>
      <color rgb="FFFFFFFF"/>
      <name val="Arial"/>
      <family val="0"/>
      <charset val="1"/>
    </font>
  </fonts>
  <fills count="12">
    <fill>
      <patternFill patternType="none"/>
    </fill>
    <fill>
      <patternFill patternType="gray125"/>
    </fill>
    <fill>
      <patternFill patternType="solid">
        <fgColor rgb="FF2E75B6"/>
        <bgColor rgb="FF4F81BD"/>
      </patternFill>
    </fill>
    <fill>
      <patternFill patternType="solid">
        <fgColor rgb="FF548235"/>
        <bgColor rgb="FF777777"/>
      </patternFill>
    </fill>
    <fill>
      <patternFill patternType="solid">
        <fgColor rgb="FF1F4E78"/>
        <bgColor rgb="FF003366"/>
      </patternFill>
    </fill>
    <fill>
      <patternFill patternType="solid">
        <fgColor rgb="FFFFF2CC"/>
        <bgColor rgb="FFFCE4D6"/>
      </patternFill>
    </fill>
    <fill>
      <patternFill patternType="solid">
        <fgColor rgb="FFF2F2F2"/>
        <bgColor rgb="FFF9F9F9"/>
      </patternFill>
    </fill>
    <fill>
      <patternFill patternType="solid">
        <fgColor rgb="FFED7D31"/>
        <bgColor rgb="FFFF8080"/>
      </patternFill>
    </fill>
    <fill>
      <patternFill patternType="solid">
        <fgColor rgb="FFC00000"/>
        <bgColor rgb="FF800000"/>
      </patternFill>
    </fill>
    <fill>
      <patternFill patternType="solid">
        <fgColor rgb="FF7030A0"/>
        <bgColor rgb="FF993366"/>
      </patternFill>
    </fill>
    <fill>
      <patternFill patternType="solid">
        <fgColor rgb="FFBF8F00"/>
        <bgColor rgb="FFED7D31"/>
      </patternFill>
    </fill>
    <fill>
      <patternFill patternType="solid">
        <fgColor rgb="FF404040"/>
        <bgColor rgb="FF555555"/>
      </patternFill>
    </fill>
  </fills>
  <borders count="3">
    <border diagonalUp="false" diagonalDown="false">
      <left/>
      <right/>
      <top/>
      <bottom/>
      <diagonal/>
    </border>
    <border diagonalUp="false" diagonalDown="false">
      <left style="thin">
        <color rgb="FFC9C9C9"/>
      </left>
      <right style="thin">
        <color rgb="FFC9C9C9"/>
      </right>
      <top style="thin">
        <color rgb="FFC9C9C9"/>
      </top>
      <bottom style="thin">
        <color rgb="FFC9C9C9"/>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7" fontId="0" fillId="0" borderId="1" xfId="0" applyFont="fals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7" fontId="12" fillId="0" borderId="2"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20" fillId="4" borderId="0" xfId="0" applyFont="true" applyBorder="true" applyAlignment="true" applyProtection="false">
      <alignment horizontal="center" vertical="center" textRotation="0" wrapText="tru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8" fontId="7" fillId="6" borderId="1" xfId="0" applyFont="true" applyBorder="true" applyAlignment="true" applyProtection="false">
      <alignment horizontal="center" vertical="bottom" textRotation="0" wrapText="false" indent="0" shrinkToFit="false"/>
      <protection locked="true" hidden="false"/>
    </xf>
    <xf numFmtId="165" fontId="7" fillId="6"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23" fillId="3" borderId="0"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5" fontId="7" fillId="6" borderId="1" xfId="0" applyFont="true" applyBorder="true" applyAlignment="true" applyProtection="false">
      <alignment horizontal="center" vertical="bottom" textRotation="0" wrapText="false" indent="0" shrinkToFit="false"/>
      <protection locked="true" hidden="false"/>
    </xf>
    <xf numFmtId="164" fontId="23" fillId="7" borderId="0" xfId="0" applyFont="true" applyBorder="true" applyAlignment="true" applyProtection="false">
      <alignment horizontal="center" vertical="center" textRotation="0" wrapText="true" indent="0" shrinkToFit="false"/>
      <protection locked="true" hidden="false"/>
    </xf>
    <xf numFmtId="164" fontId="23" fillId="8" borderId="0"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bottom" textRotation="0" wrapText="true" indent="0" shrinkToFit="false"/>
      <protection locked="true" hidden="false"/>
    </xf>
    <xf numFmtId="164" fontId="23" fillId="9" borderId="0" xfId="0" applyFont="true" applyBorder="true" applyAlignment="true" applyProtection="false">
      <alignment horizontal="center" vertical="center" textRotation="0" wrapText="true" indent="0" shrinkToFit="false"/>
      <protection locked="true" hidden="false"/>
    </xf>
    <xf numFmtId="164" fontId="23" fillId="10" borderId="0" xfId="0" applyFont="true" applyBorder="true" applyAlignment="true" applyProtection="false">
      <alignment horizontal="center" vertical="center" textRotation="0" wrapText="true" indent="0" shrinkToFit="false"/>
      <protection locked="true" hidden="false"/>
    </xf>
    <xf numFmtId="164" fontId="23" fillId="11"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75B6"/>
          <bgColor rgb="FF000000"/>
        </patternFill>
      </fill>
    </dxf>
    <dxf>
      <fill>
        <patternFill patternType="solid">
          <fgColor rgb="FFF2F2F2"/>
          <bgColor rgb="FF000000"/>
        </patternFill>
      </fill>
    </dxf>
    <dxf>
      <fill>
        <patternFill patternType="solid">
          <bgColor rgb="FF000000"/>
        </patternFill>
      </fill>
    </dxf>
    <dxf>
      <fill>
        <patternFill patternType="solid">
          <fgColor rgb="FFB7B7B7"/>
          <bgColor rgb="FF000000"/>
        </patternFill>
      </fill>
    </dxf>
    <dxf>
      <fill>
        <patternFill patternType="solid">
          <fgColor rgb="FFFFFFFF"/>
          <bgColor rgb="FF000000"/>
        </patternFill>
      </fill>
    </dxf>
    <dxf>
      <fill>
        <patternFill patternType="solid">
          <fgColor rgb="FF548235"/>
          <bgColor rgb="FF000000"/>
        </patternFill>
      </fill>
    </dxf>
    <dxf>
      <fill>
        <patternFill patternType="solid">
          <fgColor rgb="FFF8CBAD"/>
          <bgColor rgb="FF000000"/>
        </patternFill>
      </fill>
    </dxf>
    <dxf>
      <fill>
        <patternFill patternType="solid">
          <fgColor rgb="FFFCE4D6"/>
          <bgColor rgb="FF000000"/>
        </patternFill>
      </fill>
    </dxf>
    <dxf>
      <fill>
        <patternFill>
          <bgColor rgb="FFFCE4D6"/>
        </patternFill>
      </fill>
    </dxf>
    <dxf>
      <font>
        <b val="1"/>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878787"/>
      <rgbColor rgb="FF7030A0"/>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CE4D6"/>
      <rgbColor rgb="FFC9C9C9"/>
      <rgbColor rgb="FFFF99CC"/>
      <rgbColor rgb="FFCC99FF"/>
      <rgbColor rgb="FFF8CBAD"/>
      <rgbColor rgb="FF2E75B6"/>
      <rgbColor rgb="FF33CCCC"/>
      <rgbColor rgb="FF99CC00"/>
      <rgbColor rgb="FFFFCC00"/>
      <rgbColor rgb="FFBF8F00"/>
      <rgbColor rgb="FFED7D31"/>
      <rgbColor rgb="FF777777"/>
      <rgbColor rgb="FF999999"/>
      <rgbColor rgb="FF003366"/>
      <rgbColor rgb="FF4F81BD"/>
      <rgbColor rgb="FF003300"/>
      <rgbColor rgb="FF555555"/>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Devices per Box</a:t>
            </a:r>
          </a:p>
        </c:rich>
      </c:tx>
      <c:overlay val="0"/>
      <c:spPr>
        <a:noFill/>
        <a:ln w="0">
          <a:noFill/>
        </a:ln>
      </c:spPr>
    </c:title>
    <c:autoTitleDeleted val="0"/>
    <c:plotArea>
      <c:barChart>
        <c:barDir val="col"/>
        <c:grouping val="clustered"/>
        <c:varyColors val="0"/>
        <c:ser>
          <c:idx val="0"/>
          <c:order val="0"/>
          <c:tx>
            <c:strRef>
              <c:f>Dashboard!D8</c:f>
              <c:strCache>
                <c:ptCount val="1"/>
                <c:pt idx="0">
                  <c:v>Count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Dashboard!$B$9:$B$17</c:f>
              <c:strCache>
                <c:ptCount val="9"/>
                <c:pt idx="0">
                  <c:v>W</c:v>
                </c:pt>
                <c:pt idx="1">
                  <c:v>D1</c:v>
                </c:pt>
                <c:pt idx="2">
                  <c:v>D2</c:v>
                </c:pt>
                <c:pt idx="3">
                  <c:v>D3</c:v>
                </c:pt>
                <c:pt idx="4">
                  <c:v>D4</c:v>
                </c:pt>
                <c:pt idx="5">
                  <c:v>S1</c:v>
                </c:pt>
                <c:pt idx="6">
                  <c:v>K1</c:v>
                </c:pt>
                <c:pt idx="7">
                  <c:v>P1</c:v>
                </c:pt>
                <c:pt idx="8">
                  <c:v>U1</c:v>
                </c:pt>
              </c:strCache>
            </c:strRef>
          </c:cat>
          <c:val>
            <c:numRef>
              <c:f>Dashboard!$D$9:$D$17</c:f>
              <c:numCache>
                <c:formatCode>General</c:formatCode>
                <c:ptCount val="9"/>
                <c:pt idx="0">
                  <c:v>80</c:v>
                </c:pt>
                <c:pt idx="1">
                  <c:v>7</c:v>
                </c:pt>
                <c:pt idx="2">
                  <c:v>7</c:v>
                </c:pt>
                <c:pt idx="3">
                  <c:v>7</c:v>
                </c:pt>
                <c:pt idx="4">
                  <c:v>6</c:v>
                </c:pt>
                <c:pt idx="5">
                  <c:v>26</c:v>
                </c:pt>
                <c:pt idx="6">
                  <c:v>3</c:v>
                </c:pt>
                <c:pt idx="7">
                  <c:v>4</c:v>
                </c:pt>
                <c:pt idx="8">
                  <c:v>4</c:v>
                </c:pt>
              </c:numCache>
            </c:numRef>
          </c:val>
        </c:ser>
        <c:gapWidth val="150"/>
        <c:overlap val="0"/>
        <c:axId val="99840268"/>
        <c:axId val="31609767"/>
      </c:barChart>
      <c:catAx>
        <c:axId val="9984026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Box</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09767"/>
        <c:crosses val="autoZero"/>
        <c:auto val="1"/>
        <c:lblAlgn val="ctr"/>
        <c:lblOffset val="100"/>
        <c:noMultiLvlLbl val="0"/>
      </c:catAx>
      <c:valAx>
        <c:axId val="3160976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4026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6</xdr:col>
      <xdr:colOff>165960</xdr:colOff>
      <xdr:row>38</xdr:row>
      <xdr:rowOff>170280</xdr:rowOff>
    </xdr:to>
    <xdr:graphicFrame>
      <xdr:nvGraphicFramePr>
        <xdr:cNvPr id="0" name="Chart 1"/>
        <xdr:cNvGraphicFramePr/>
      </xdr:nvGraphicFramePr>
      <xdr:xfrm>
        <a:off x="211320" y="5257800"/>
        <a:ext cx="7919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true"/>
  </sheetPr>
  <dimension ref="B2:B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 collapsed="false" customWidth="true" hidden="false" outlineLevel="0" max="3" min="3" style="1" width="3"/>
  </cols>
  <sheetData>
    <row r="2" customFormat="false" ht="25.5" hidden="false" customHeight="true" outlineLevel="0" collapsed="false">
      <c r="B2" s="2" t="s">
        <v>0</v>
      </c>
    </row>
    <row r="3" customFormat="false" ht="18" hidden="false" customHeight="true" outlineLevel="0" collapsed="false">
      <c r="B3" s="3" t="s">
        <v>1</v>
      </c>
    </row>
    <row r="5" customFormat="false" ht="21.75" hidden="false" customHeight="true" outlineLevel="0" collapsed="false">
      <c r="B5" s="4" t="s">
        <v>2</v>
      </c>
    </row>
    <row r="6" customFormat="false" ht="39.75" hidden="false" customHeight="true" outlineLevel="0" collapsed="false">
      <c r="B6" s="5"/>
    </row>
    <row r="7" customFormat="false" ht="39.75" hidden="false" customHeight="true" outlineLevel="0" collapsed="false">
      <c r="B7" s="6" t="s">
        <v>3</v>
      </c>
    </row>
    <row r="8" customFormat="false" ht="6" hidden="false" customHeight="true" outlineLevel="0" collapsed="false"/>
    <row r="9" customFormat="false" ht="39.75" hidden="false" customHeight="true" outlineLevel="0" collapsed="false">
      <c r="B9" s="5"/>
    </row>
    <row r="10" customFormat="false" ht="55.5" hidden="false" customHeight="true" outlineLevel="0" collapsed="false">
      <c r="B10" s="6" t="s">
        <v>4</v>
      </c>
    </row>
    <row r="11" customFormat="false" ht="6" hidden="false" customHeight="true" outlineLevel="0" collapsed="false"/>
    <row r="13" customFormat="false" ht="21.75" hidden="false" customHeight="true" outlineLevel="0" collapsed="false">
      <c r="B13" s="4" t="s">
        <v>5</v>
      </c>
    </row>
    <row r="14" customFormat="false" ht="39.75" hidden="false" customHeight="true" outlineLevel="0" collapsed="false">
      <c r="B14" s="5" t="s">
        <v>6</v>
      </c>
    </row>
    <row r="15" customFormat="false" ht="39.75" hidden="false" customHeight="true" outlineLevel="0" collapsed="false">
      <c r="B15" s="5" t="s">
        <v>7</v>
      </c>
    </row>
    <row r="16" customFormat="false" ht="24" hidden="false" customHeight="true" outlineLevel="0" collapsed="false">
      <c r="B16" s="5" t="s">
        <v>8</v>
      </c>
    </row>
    <row r="17" customFormat="false" ht="24" hidden="false" customHeight="true" outlineLevel="0" collapsed="false">
      <c r="B17" s="5" t="s">
        <v>9</v>
      </c>
    </row>
    <row r="18" customFormat="false" ht="24" hidden="false" customHeight="true" outlineLevel="0" collapsed="false">
      <c r="B18" s="5" t="s">
        <v>10</v>
      </c>
    </row>
    <row r="19" customFormat="false" ht="39.75" hidden="false" customHeight="true" outlineLevel="0" collapsed="false">
      <c r="B19" s="5" t="s">
        <v>11</v>
      </c>
    </row>
    <row r="20" customFormat="false" ht="6" hidden="false" customHeight="true" outlineLevel="0" collapsed="false"/>
    <row r="22" customFormat="false" ht="21.75" hidden="false" customHeight="true" outlineLevel="0" collapsed="false">
      <c r="B22" s="4" t="s">
        <v>12</v>
      </c>
    </row>
    <row r="23" customFormat="false" ht="39.75" hidden="false" customHeight="true" outlineLevel="0" collapsed="false">
      <c r="B23" s="5"/>
    </row>
    <row r="24" customFormat="false" ht="55.5" hidden="false" customHeight="true" outlineLevel="0" collapsed="false">
      <c r="B24" s="6" t="s">
        <v>13</v>
      </c>
    </row>
    <row r="25" customFormat="false" ht="6" hidden="false" customHeight="true" outlineLevel="0" collapsed="false"/>
    <row r="26" customFormat="false" ht="24" hidden="false" customHeight="true" outlineLevel="0" collapsed="false">
      <c r="B26" s="5"/>
    </row>
    <row r="27" customFormat="false" ht="24" hidden="false" customHeight="true" outlineLevel="0" collapsed="false">
      <c r="B27" s="6" t="s">
        <v>14</v>
      </c>
    </row>
    <row r="28" customFormat="false" ht="6" hidden="false" customHeight="true" outlineLevel="0" collapsed="false"/>
    <row r="29" customFormat="false" ht="24" hidden="false" customHeight="true" outlineLevel="0" collapsed="false">
      <c r="B29" s="5"/>
    </row>
    <row r="30" customFormat="false" ht="24" hidden="false" customHeight="true" outlineLevel="0" collapsed="false">
      <c r="B30" s="6" t="s">
        <v>15</v>
      </c>
    </row>
    <row r="31" customFormat="false" ht="6" hidden="false" customHeight="true" outlineLevel="0" collapsed="false"/>
    <row r="32" customFormat="false" ht="24" hidden="false" customHeight="true" outlineLevel="0" collapsed="false">
      <c r="B32" s="5"/>
    </row>
    <row r="33" customFormat="false" ht="24" hidden="false" customHeight="true" outlineLevel="0" collapsed="false">
      <c r="B33" s="6" t="s">
        <v>16</v>
      </c>
    </row>
    <row r="34" customFormat="false" ht="6" hidden="false" customHeight="true" outlineLevel="0" collapsed="false"/>
    <row r="35" customFormat="false" ht="24" hidden="false" customHeight="true" outlineLevel="0" collapsed="false">
      <c r="B35" s="5"/>
    </row>
    <row r="36" customFormat="false" ht="24" hidden="false" customHeight="true" outlineLevel="0" collapsed="false">
      <c r="B36" s="6" t="s">
        <v>17</v>
      </c>
    </row>
    <row r="37" customFormat="false" ht="6" hidden="false" customHeight="true" outlineLevel="0" collapsed="false"/>
    <row r="38" customFormat="false" ht="24" hidden="false" customHeight="true" outlineLevel="0" collapsed="false">
      <c r="B38" s="5"/>
    </row>
    <row r="39" customFormat="false" ht="24" hidden="false" customHeight="true" outlineLevel="0" collapsed="false">
      <c r="B39" s="6" t="s">
        <v>18</v>
      </c>
    </row>
    <row r="40" customFormat="false" ht="6" hidden="false" customHeight="true" outlineLevel="0" collapsed="false"/>
    <row r="41" customFormat="false" ht="24" hidden="false" customHeight="true" outlineLevel="0" collapsed="false">
      <c r="B41" s="5"/>
    </row>
    <row r="42" customFormat="false" ht="24" hidden="false" customHeight="true" outlineLevel="0" collapsed="false">
      <c r="B42" s="6" t="s">
        <v>19</v>
      </c>
    </row>
    <row r="43" customFormat="false" ht="6" hidden="false" customHeight="true" outlineLevel="0" collapsed="false"/>
    <row r="44" customFormat="false" ht="24" hidden="false" customHeight="true" outlineLevel="0" collapsed="false">
      <c r="B44" s="5"/>
    </row>
    <row r="45" customFormat="false" ht="24" hidden="false" customHeight="true" outlineLevel="0" collapsed="false">
      <c r="B45" s="6" t="s">
        <v>20</v>
      </c>
    </row>
    <row r="46" customFormat="false" ht="6" hidden="false" customHeight="true" outlineLevel="0" collapsed="false"/>
    <row r="47" customFormat="false" ht="39.75" hidden="false" customHeight="true" outlineLevel="0" collapsed="false">
      <c r="B47" s="5"/>
    </row>
    <row r="48" customFormat="false" ht="39.75" hidden="false" customHeight="true" outlineLevel="0" collapsed="false">
      <c r="B48" s="6" t="s">
        <v>21</v>
      </c>
    </row>
    <row r="49" customFormat="false" ht="6" hidden="false" customHeight="true" outlineLevel="0" collapsed="false"/>
    <row r="51" customFormat="false" ht="21.75" hidden="false" customHeight="true" outlineLevel="0" collapsed="false">
      <c r="B51" s="4" t="s">
        <v>22</v>
      </c>
    </row>
    <row r="52" customFormat="false" ht="55.5" hidden="false" customHeight="true" outlineLevel="0" collapsed="false">
      <c r="B52" s="5"/>
    </row>
    <row r="53" customFormat="false" ht="55.5" hidden="false" customHeight="true" outlineLevel="0" collapsed="false">
      <c r="B53" s="6" t="s">
        <v>23</v>
      </c>
    </row>
    <row r="54" customFormat="false" ht="6" hidden="false" customHeight="true" outlineLevel="0" collapsed="false"/>
    <row r="55" customFormat="false" ht="39.75" hidden="false" customHeight="true" outlineLevel="0" collapsed="false">
      <c r="B55" s="5"/>
    </row>
    <row r="56" customFormat="false" ht="55.5" hidden="false" customHeight="true" outlineLevel="0" collapsed="false">
      <c r="B56" s="6" t="s">
        <v>24</v>
      </c>
    </row>
    <row r="57" customFormat="false" ht="6" hidden="false" customHeight="true" outlineLevel="0" collapsed="false"/>
    <row r="59" customFormat="false" ht="21.75" hidden="false" customHeight="true" outlineLevel="0" collapsed="false">
      <c r="B59" s="4" t="s">
        <v>25</v>
      </c>
    </row>
    <row r="60" customFormat="false" ht="55.5" hidden="false" customHeight="true" outlineLevel="0" collapsed="false">
      <c r="B60" s="5"/>
    </row>
    <row r="61" customFormat="false" ht="55.5" hidden="false" customHeight="true" outlineLevel="0" collapsed="false">
      <c r="B61" s="6" t="s">
        <v>26</v>
      </c>
    </row>
    <row r="62" customFormat="false" ht="6" hidden="false" customHeight="true" outlineLevel="0" collapsed="false"/>
    <row r="64" customFormat="false" ht="21.75" hidden="false" customHeight="true" outlineLevel="0" collapsed="false">
      <c r="B64" s="4" t="s">
        <v>27</v>
      </c>
    </row>
    <row r="65" customFormat="false" ht="45.75" hidden="false" customHeight="true" outlineLevel="0" collapsed="false">
      <c r="B65" s="7" t="s">
        <v>28</v>
      </c>
    </row>
    <row r="66" customFormat="false" ht="45.75" hidden="false" customHeight="true" outlineLevel="0" collapsed="false">
      <c r="B66" s="8" t="s">
        <v>29</v>
      </c>
    </row>
    <row r="68" customFormat="false" ht="15.75" hidden="false" customHeight="true" outlineLevel="0" collapsed="false">
      <c r="B68" s="9" t="s">
        <v>30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2:F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0"/>
    <col collapsed="false" customWidth="true" hidden="false" outlineLevel="0" max="4" min="4" style="1" width="46"/>
    <col collapsed="false" customWidth="true" hidden="false" outlineLevel="0" max="6" min="5" style="1" width="12"/>
    <col collapsed="false" customWidth="true" hidden="false" outlineLevel="0" max="7" min="7" style="1" width="3"/>
  </cols>
  <sheetData>
    <row r="2" customFormat="false" ht="30" hidden="false" customHeight="true" outlineLevel="0" collapsed="false">
      <c r="B2" s="10" t="s">
        <v>31</v>
      </c>
      <c r="C2" s="10"/>
      <c r="D2" s="10"/>
      <c r="E2" s="10"/>
      <c r="F2" s="10"/>
    </row>
    <row r="4" customFormat="false" ht="15" hidden="false" customHeight="true" outlineLevel="0" collapsed="false">
      <c r="B4" s="11" t="s">
        <v>32</v>
      </c>
      <c r="C4" s="4" t="n">
        <f aca="false">COUNTIF('All Devices (Master)'!$B$3:$B$252,"&lt;&gt;")</f>
        <v>144</v>
      </c>
    </row>
    <row r="5" customFormat="false" ht="15" hidden="false" customHeight="true" outlineLevel="0" collapsed="false">
      <c r="B5" s="11" t="s">
        <v>33</v>
      </c>
      <c r="C5" s="12" t="n">
        <f aca="false">COUNTIF('All Devices (Master)'!$V$3:$V$252,"?*")</f>
        <v>25</v>
      </c>
    </row>
    <row r="6" customFormat="false" ht="15" hidden="false" customHeight="true" outlineLevel="0" collapsed="false">
      <c r="B6" s="11" t="s">
        <v>34</v>
      </c>
      <c r="C6" s="13" t="n">
        <f aca="false">MAX('All Devices (Master)'!$B$3:$B$252)</f>
        <v>46246.4898312037</v>
      </c>
    </row>
    <row r="8" customFormat="false" ht="19.5" hidden="false" customHeight="true" outlineLevel="0" collapsed="false">
      <c r="B8" s="14" t="s">
        <v>35</v>
      </c>
      <c r="C8" s="14" t="s">
        <v>36</v>
      </c>
      <c r="D8" s="14" t="s">
        <v>37</v>
      </c>
      <c r="E8" s="14" t="s">
        <v>38</v>
      </c>
    </row>
    <row r="9" customFormat="false" ht="25.5" hidden="false" customHeight="true" outlineLevel="0" collapsed="false">
      <c r="B9" s="15" t="s">
        <v>39</v>
      </c>
      <c r="C9" s="16" t="s">
        <v>40</v>
      </c>
      <c r="D9" s="17" t="n">
        <f aca="false">COUNTIF('All Devices (Master)'!$T$3:$T$252,$B9)</f>
        <v>80</v>
      </c>
      <c r="E9" s="18" t="n">
        <f aca="false">IFERROR(D9/COUNTIF('All Devices (Master)'!$B$3:$B$252,"&lt;&gt;"),0)</f>
        <v>0.555555555555556</v>
      </c>
    </row>
    <row r="10" customFormat="false" ht="25.5" hidden="false" customHeight="true" outlineLevel="0" collapsed="false">
      <c r="B10" s="15" t="s">
        <v>41</v>
      </c>
      <c r="C10" s="16" t="s">
        <v>42</v>
      </c>
      <c r="D10" s="17" t="n">
        <f aca="false">COUNTIF('All Devices (Master)'!$T$3:$T$252,$B10)</f>
        <v>7</v>
      </c>
      <c r="E10" s="18" t="n">
        <f aca="false">IFERROR(D10/COUNTIF('All Devices (Master)'!$B$3:$B$252,"&lt;&gt;"),0)</f>
        <v>0.0486111111111111</v>
      </c>
    </row>
    <row r="11" customFormat="false" ht="25.5" hidden="false" customHeight="true" outlineLevel="0" collapsed="false">
      <c r="B11" s="15" t="s">
        <v>43</v>
      </c>
      <c r="C11" s="16" t="s">
        <v>44</v>
      </c>
      <c r="D11" s="17" t="n">
        <f aca="false">COUNTIF('All Devices (Master)'!$T$3:$T$252,$B11)</f>
        <v>7</v>
      </c>
      <c r="E11" s="18" t="n">
        <f aca="false">IFERROR(D11/COUNTIF('All Devices (Master)'!$B$3:$B$252,"&lt;&gt;"),0)</f>
        <v>0.0486111111111111</v>
      </c>
    </row>
    <row r="12" customFormat="false" ht="25.5" hidden="false" customHeight="true" outlineLevel="0" collapsed="false">
      <c r="B12" s="15" t="s">
        <v>45</v>
      </c>
      <c r="C12" s="16" t="s">
        <v>46</v>
      </c>
      <c r="D12" s="17" t="n">
        <f aca="false">COUNTIF('All Devices (Master)'!$T$3:$T$252,$B12)</f>
        <v>7</v>
      </c>
      <c r="E12" s="18" t="n">
        <f aca="false">IFERROR(D12/COUNTIF('All Devices (Master)'!$B$3:$B$252,"&lt;&gt;"),0)</f>
        <v>0.0486111111111111</v>
      </c>
    </row>
    <row r="13" customFormat="false" ht="25.5" hidden="false" customHeight="true" outlineLevel="0" collapsed="false">
      <c r="B13" s="15" t="s">
        <v>47</v>
      </c>
      <c r="C13" s="16" t="s">
        <v>48</v>
      </c>
      <c r="D13" s="17" t="n">
        <f aca="false">COUNTIF('All Devices (Master)'!$T$3:$T$252,$B13)</f>
        <v>6</v>
      </c>
      <c r="E13" s="18" t="n">
        <f aca="false">IFERROR(D13/COUNTIF('All Devices (Master)'!$B$3:$B$252,"&lt;&gt;"),0)</f>
        <v>0.0416666666666667</v>
      </c>
    </row>
    <row r="14" customFormat="false" ht="25.5" hidden="false" customHeight="true" outlineLevel="0" collapsed="false">
      <c r="B14" s="15" t="s">
        <v>49</v>
      </c>
      <c r="C14" s="16" t="s">
        <v>50</v>
      </c>
      <c r="D14" s="17" t="n">
        <f aca="false">COUNTIF('All Devices (Master)'!$T$3:$T$252,$B14)</f>
        <v>26</v>
      </c>
      <c r="E14" s="18" t="n">
        <f aca="false">IFERROR(D14/COUNTIF('All Devices (Master)'!$B$3:$B$252,"&lt;&gt;"),0)</f>
        <v>0.180555555555556</v>
      </c>
    </row>
    <row r="15" customFormat="false" ht="25.5" hidden="false" customHeight="true" outlineLevel="0" collapsed="false">
      <c r="B15" s="15" t="s">
        <v>51</v>
      </c>
      <c r="C15" s="16" t="s">
        <v>52</v>
      </c>
      <c r="D15" s="17" t="n">
        <f aca="false">COUNTIF('All Devices (Master)'!$T$3:$T$252,$B15)</f>
        <v>3</v>
      </c>
      <c r="E15" s="18" t="n">
        <f aca="false">IFERROR(D15/COUNTIF('All Devices (Master)'!$B$3:$B$252,"&lt;&gt;"),0)</f>
        <v>0.0208333333333333</v>
      </c>
    </row>
    <row r="16" customFormat="false" ht="25.5" hidden="false" customHeight="true" outlineLevel="0" collapsed="false">
      <c r="B16" s="15" t="s">
        <v>53</v>
      </c>
      <c r="C16" s="16" t="s">
        <v>54</v>
      </c>
      <c r="D16" s="17" t="n">
        <f aca="false">COUNTIF('All Devices (Master)'!$T$3:$T$252,$B16)</f>
        <v>4</v>
      </c>
      <c r="E16" s="18" t="n">
        <f aca="false">IFERROR(D16/COUNTIF('All Devices (Master)'!$B$3:$B$252,"&lt;&gt;"),0)</f>
        <v>0.0277777777777778</v>
      </c>
    </row>
    <row r="17" customFormat="false" ht="25.5" hidden="false" customHeight="true" outlineLevel="0" collapsed="false">
      <c r="B17" s="15" t="s">
        <v>55</v>
      </c>
      <c r="C17" s="16" t="s">
        <v>56</v>
      </c>
      <c r="D17" s="17" t="n">
        <f aca="false">COUNTIF('All Devices (Master)'!$T$3:$T$252,$B17)</f>
        <v>4</v>
      </c>
      <c r="E17" s="18" t="n">
        <f aca="false">IFERROR(D17/COUNTIF('All Devices (Master)'!$B$3:$B$252,"&lt;&gt;"),0)</f>
        <v>0.0277777777777778</v>
      </c>
    </row>
    <row r="18" customFormat="false" ht="15" hidden="false" customHeight="true" outlineLevel="0" collapsed="false">
      <c r="B18" s="19" t="s">
        <v>57</v>
      </c>
      <c r="C18" s="20"/>
      <c r="D18" s="19" t="n">
        <f aca="false">SUM(D9:D17)</f>
        <v>144</v>
      </c>
      <c r="E18" s="21" t="n">
        <f aca="false">SUM(E9:E17)</f>
        <v>1</v>
      </c>
    </row>
  </sheetData>
  <mergeCells count="1">
    <mergeCell ref="B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2: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3"/>
    <col collapsed="false" customWidth="true" hidden="false" outlineLevel="0" max="5" min="5" style="1" width="22"/>
    <col collapsed="false" customWidth="true" hidden="false" outlineLevel="0" max="6" min="6" style="1" width="24"/>
  </cols>
  <sheetData>
    <row r="2" customFormat="false" ht="27.75" hidden="false" customHeight="true" outlineLevel="0" collapsed="false">
      <c r="B2" s="22" t="s">
        <v>58</v>
      </c>
      <c r="C2" s="22"/>
      <c r="D2" s="22"/>
      <c r="E2" s="22"/>
      <c r="F2" s="22"/>
    </row>
    <row r="4" customFormat="false" ht="15" hidden="false" customHeight="true" outlineLevel="0" collapsed="false">
      <c r="B4" s="11" t="s">
        <v>59</v>
      </c>
      <c r="C4" s="23" t="n">
        <v>7</v>
      </c>
      <c r="D4" s="24" t="s">
        <v>60</v>
      </c>
    </row>
    <row r="6" customFormat="false" ht="15" hidden="false" customHeight="true" outlineLevel="0" collapsed="false">
      <c r="B6" s="4" t="s">
        <v>61</v>
      </c>
    </row>
    <row r="7" customFormat="false" ht="18" hidden="false" customHeight="true" outlineLevel="0" collapsed="false">
      <c r="B7" s="25" t="s">
        <v>62</v>
      </c>
      <c r="C7" s="25" t="s">
        <v>63</v>
      </c>
    </row>
    <row r="8" customFormat="false" ht="15" hidden="false" customHeight="true" outlineLevel="0" collapsed="false">
      <c r="B8" s="26" t="s">
        <v>64</v>
      </c>
      <c r="C8" s="26" t="s">
        <v>65</v>
      </c>
    </row>
    <row r="9" customFormat="false" ht="15" hidden="false" customHeight="true" outlineLevel="0" collapsed="false">
      <c r="B9" s="26" t="s">
        <v>64</v>
      </c>
      <c r="C9" s="26" t="s">
        <v>66</v>
      </c>
    </row>
    <row r="10" customFormat="false" ht="15" hidden="false" customHeight="true" outlineLevel="0" collapsed="false">
      <c r="B10" s="26" t="s">
        <v>64</v>
      </c>
      <c r="C10" s="26" t="s">
        <v>67</v>
      </c>
    </row>
    <row r="11" customFormat="false" ht="15" hidden="false" customHeight="true" outlineLevel="0" collapsed="false">
      <c r="B11" s="26" t="s">
        <v>68</v>
      </c>
      <c r="C11" s="26" t="s">
        <v>69</v>
      </c>
    </row>
    <row r="12" customFormat="false" ht="15" hidden="false" customHeight="true" outlineLevel="0" collapsed="false">
      <c r="B12" s="26" t="s">
        <v>70</v>
      </c>
      <c r="C12" s="26" t="s">
        <v>71</v>
      </c>
    </row>
    <row r="13" customFormat="false" ht="15" hidden="false" customHeight="true" outlineLevel="0" collapsed="false">
      <c r="B13" s="26" t="s">
        <v>70</v>
      </c>
      <c r="C13" s="26" t="s">
        <v>72</v>
      </c>
    </row>
    <row r="14" customFormat="false" ht="15" hidden="false" customHeight="true" outlineLevel="0" collapsed="false">
      <c r="B14" s="26" t="s">
        <v>70</v>
      </c>
      <c r="C14" s="26" t="s">
        <v>73</v>
      </c>
    </row>
    <row r="15" customFormat="false" ht="15" hidden="false" customHeight="true" outlineLevel="0" collapsed="false">
      <c r="B15" s="26" t="s">
        <v>70</v>
      </c>
      <c r="C15" s="26" t="s">
        <v>74</v>
      </c>
    </row>
    <row r="16" customFormat="false" ht="15" hidden="false" customHeight="true" outlineLevel="0" collapsed="false">
      <c r="B16" s="26" t="s">
        <v>70</v>
      </c>
      <c r="C16" s="26" t="s">
        <v>75</v>
      </c>
    </row>
    <row r="17" customFormat="false" ht="15" hidden="false" customHeight="true" outlineLevel="0" collapsed="false">
      <c r="B17" s="26" t="s">
        <v>76</v>
      </c>
      <c r="C17" s="26" t="s">
        <v>77</v>
      </c>
    </row>
    <row r="18" customFormat="false" ht="15" hidden="false" customHeight="true" outlineLevel="0" collapsed="false">
      <c r="B18" s="26" t="s">
        <v>76</v>
      </c>
      <c r="C18" s="26" t="s">
        <v>78</v>
      </c>
    </row>
    <row r="19" customFormat="false" ht="15" hidden="false" customHeight="true" outlineLevel="0" collapsed="false">
      <c r="B19" s="26" t="s">
        <v>76</v>
      </c>
      <c r="C19" s="26" t="s">
        <v>79</v>
      </c>
    </row>
    <row r="20" customFormat="false" ht="15" hidden="false" customHeight="true" outlineLevel="0" collapsed="false">
      <c r="B20" s="26" t="s">
        <v>76</v>
      </c>
      <c r="C20" s="26" t="s">
        <v>80</v>
      </c>
    </row>
    <row r="21" customFormat="false" ht="15" hidden="false" customHeight="true" outlineLevel="0" collapsed="false">
      <c r="B21" s="26" t="s">
        <v>76</v>
      </c>
      <c r="C21" s="26" t="s">
        <v>81</v>
      </c>
    </row>
    <row r="22" customFormat="false" ht="15" hidden="false" customHeight="true" outlineLevel="0" collapsed="false">
      <c r="B22" s="26" t="s">
        <v>82</v>
      </c>
      <c r="C22" s="26" t="s">
        <v>83</v>
      </c>
    </row>
    <row r="23" customFormat="false" ht="15" hidden="false" customHeight="true" outlineLevel="0" collapsed="false">
      <c r="B23" s="26" t="s">
        <v>84</v>
      </c>
      <c r="C23" s="26" t="s">
        <v>85</v>
      </c>
    </row>
    <row r="24" customFormat="false" ht="15" hidden="false" customHeight="true" outlineLevel="0" collapsed="false">
      <c r="B24" s="26" t="s">
        <v>84</v>
      </c>
      <c r="C24" s="26" t="s">
        <v>86</v>
      </c>
    </row>
    <row r="26" customFormat="false" ht="15" hidden="false" customHeight="true" outlineLevel="0" collapsed="false">
      <c r="B26" s="4" t="s">
        <v>87</v>
      </c>
    </row>
    <row r="27" customFormat="false" ht="15" hidden="false" customHeight="true" outlineLevel="0" collapsed="false">
      <c r="B27" s="25" t="s">
        <v>88</v>
      </c>
      <c r="C27" s="25" t="s">
        <v>89</v>
      </c>
    </row>
    <row r="28" customFormat="false" ht="15" hidden="false" customHeight="true" outlineLevel="0" collapsed="false">
      <c r="B28" s="26" t="s">
        <v>90</v>
      </c>
      <c r="C28" s="26" t="s">
        <v>90</v>
      </c>
    </row>
    <row r="29" customFormat="false" ht="15" hidden="false" customHeight="true" outlineLevel="0" collapsed="false">
      <c r="B29" s="26" t="s">
        <v>91</v>
      </c>
      <c r="C29" s="26" t="s">
        <v>90</v>
      </c>
    </row>
    <row r="30" customFormat="false" ht="15" hidden="false" customHeight="true" outlineLevel="0" collapsed="false">
      <c r="B30" s="26" t="s">
        <v>92</v>
      </c>
      <c r="C30" s="26" t="s">
        <v>92</v>
      </c>
    </row>
    <row r="31" customFormat="false" ht="15" hidden="false" customHeight="true" outlineLevel="0" collapsed="false">
      <c r="B31" s="26" t="s">
        <v>93</v>
      </c>
      <c r="C31" s="26" t="s">
        <v>93</v>
      </c>
    </row>
    <row r="32" customFormat="false" ht="15" hidden="false" customHeight="true" outlineLevel="0" collapsed="false">
      <c r="B32" s="26" t="s">
        <v>94</v>
      </c>
      <c r="C32" s="26" t="s">
        <v>94</v>
      </c>
    </row>
    <row r="33" customFormat="false" ht="15" hidden="false" customHeight="true" outlineLevel="0" collapsed="false">
      <c r="B33" s="26" t="s">
        <v>95</v>
      </c>
      <c r="C33" s="26" t="s">
        <v>96</v>
      </c>
    </row>
    <row r="34" customFormat="false" ht="15" hidden="false" customHeight="true" outlineLevel="0" collapsed="false">
      <c r="B34" s="26" t="s">
        <v>97</v>
      </c>
      <c r="C34" s="26" t="s">
        <v>97</v>
      </c>
    </row>
    <row r="35" customFormat="false" ht="15" hidden="false" customHeight="true" outlineLevel="0" collapsed="false">
      <c r="B35" s="26" t="s">
        <v>98</v>
      </c>
      <c r="C35" s="26" t="s">
        <v>98</v>
      </c>
    </row>
    <row r="36" customFormat="false" ht="15" hidden="false" customHeight="true" outlineLevel="0" collapsed="false">
      <c r="B36" s="26" t="s">
        <v>99</v>
      </c>
      <c r="C36" s="26" t="s">
        <v>99</v>
      </c>
    </row>
    <row r="37" customFormat="false" ht="15" hidden="false" customHeight="true" outlineLevel="0" collapsed="false">
      <c r="B37" s="26" t="s">
        <v>100</v>
      </c>
      <c r="C37" s="26" t="s">
        <v>100</v>
      </c>
    </row>
  </sheetData>
  <mergeCells count="1">
    <mergeCell ref="B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X2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14"/>
    <col collapsed="false" customWidth="true" hidden="false" outlineLevel="0" max="4" min="4" style="1" width="16"/>
    <col collapsed="false" customWidth="true" hidden="false" outlineLevel="0" max="5" min="5" style="1" width="20"/>
    <col collapsed="false" customWidth="true" hidden="false" outlineLevel="0" max="6" min="6" style="1" width="18"/>
    <col collapsed="false" customWidth="true" hidden="false" outlineLevel="0" max="8" min="7" style="1" width="20"/>
    <col collapsed="false" customWidth="true" hidden="false" outlineLevel="0" max="9" min="9" style="1" width="26"/>
    <col collapsed="false" customWidth="true" hidden="false" outlineLevel="0" max="10" min="10" style="1" width="12"/>
    <col collapsed="false" customWidth="true" hidden="true" outlineLevel="0" max="11" min="11" style="1" width="10"/>
    <col collapsed="false" customWidth="true" hidden="false" outlineLevel="0" max="16" min="12" style="1" width="8"/>
    <col collapsed="false" customWidth="true" hidden="false" outlineLevel="0" max="18" min="17" style="1" width="9"/>
    <col collapsed="false" customWidth="true" hidden="false" outlineLevel="0" max="19" min="19" style="1" width="8"/>
    <col collapsed="false" customWidth="true" hidden="false" outlineLevel="0" max="20" min="20" style="1" width="10"/>
    <col collapsed="false" customWidth="true" hidden="true" outlineLevel="0" max="21" min="21" style="1" width="10"/>
    <col collapsed="false" customWidth="true" hidden="false" outlineLevel="0" max="22" min="22" style="1" width="40"/>
    <col collapsed="false" customWidth="true" hidden="false" outlineLevel="0" max="23" min="23" style="1" width="9"/>
    <col collapsed="false" customWidth="true" hidden="false" outlineLevel="0" max="24" min="24" style="1" width="18"/>
  </cols>
  <sheetData>
    <row r="1" customFormat="false" ht="24" hidden="false" customHeight="true" outlineLevel="0" collapsed="false">
      <c r="A1" s="27" t="s">
        <v>101</v>
      </c>
      <c r="B1" s="27"/>
      <c r="C1" s="27"/>
      <c r="D1" s="27"/>
      <c r="E1" s="27"/>
      <c r="F1" s="27"/>
      <c r="G1" s="27"/>
      <c r="H1" s="27"/>
      <c r="I1" s="27"/>
      <c r="J1" s="27"/>
      <c r="K1" s="27"/>
      <c r="L1" s="27"/>
      <c r="M1" s="27"/>
      <c r="N1" s="27"/>
      <c r="O1" s="27"/>
      <c r="P1" s="27"/>
      <c r="Q1" s="27"/>
      <c r="R1" s="27"/>
      <c r="S1" s="27"/>
      <c r="T1" s="27"/>
      <c r="U1" s="27"/>
      <c r="V1" s="27"/>
      <c r="W1" s="27"/>
      <c r="X1" s="27"/>
    </row>
    <row r="2" customFormat="false" ht="30" hidden="false" customHeight="true" outlineLevel="0" collapsed="false">
      <c r="A2" s="28" t="s">
        <v>102</v>
      </c>
      <c r="B2" s="28" t="s">
        <v>103</v>
      </c>
      <c r="C2" s="28" t="s">
        <v>104</v>
      </c>
      <c r="D2" s="28" t="s">
        <v>105</v>
      </c>
      <c r="E2" s="28" t="s">
        <v>106</v>
      </c>
      <c r="F2" s="28" t="s">
        <v>107</v>
      </c>
      <c r="G2" s="28" t="s">
        <v>108</v>
      </c>
      <c r="H2" s="28" t="s">
        <v>109</v>
      </c>
      <c r="I2" s="28" t="s">
        <v>110</v>
      </c>
      <c r="J2" s="28" t="s">
        <v>111</v>
      </c>
      <c r="K2" s="29" t="s">
        <v>112</v>
      </c>
      <c r="L2" s="29" t="s">
        <v>113</v>
      </c>
      <c r="M2" s="29" t="s">
        <v>114</v>
      </c>
      <c r="N2" s="29" t="s">
        <v>115</v>
      </c>
      <c r="O2" s="29" t="s">
        <v>116</v>
      </c>
      <c r="P2" s="29" t="s">
        <v>117</v>
      </c>
      <c r="Q2" s="29" t="s">
        <v>118</v>
      </c>
      <c r="R2" s="29" t="s">
        <v>119</v>
      </c>
      <c r="S2" s="29" t="s">
        <v>120</v>
      </c>
      <c r="T2" s="29" t="s">
        <v>121</v>
      </c>
      <c r="U2" s="29" t="s">
        <v>122</v>
      </c>
      <c r="V2" s="29" t="s">
        <v>123</v>
      </c>
      <c r="W2" s="29" t="s">
        <v>124</v>
      </c>
      <c r="X2" s="29" t="s">
        <v>125</v>
      </c>
    </row>
    <row r="3" customFormat="false" ht="15" hidden="false" customHeight="true" outlineLevel="0" collapsed="false">
      <c r="A3" s="26" t="n">
        <v>1</v>
      </c>
      <c r="B3" s="30" t="n">
        <v>46239.4690062269</v>
      </c>
      <c r="C3" s="26" t="s">
        <v>90</v>
      </c>
      <c r="D3" s="26" t="str">
        <f aca="false">IF($B3="","",IFERROR(VLOOKUP(TRIM($C3),ModelMap,2,FALSE()),TRIM($C3)))</f>
        <v>X628</v>
      </c>
      <c r="E3" s="26" t="s">
        <v>126</v>
      </c>
      <c r="F3" s="26" t="s">
        <v>127</v>
      </c>
      <c r="G3" s="26" t="s">
        <v>128</v>
      </c>
      <c r="H3" s="26"/>
      <c r="I3" s="26"/>
      <c r="J3" s="26" t="s">
        <v>129</v>
      </c>
      <c r="K3" s="26" t="str">
        <f aca="false">IF($B3="","",LOWER(TRIM($G3)&amp;" | "&amp;TRIM($H3)&amp;" | "&amp;TRIM($I3)))</f>
        <v>working, no power supply |  | </v>
      </c>
      <c r="L3" s="31" t="b">
        <f aca="false">IF($B3="","",SUMPRODUCT(--ISNUMBER(SEARCH(SensorKW,$K3)))&gt;0)</f>
        <v>0</v>
      </c>
      <c r="M3" s="31" t="b">
        <f aca="false">IF($B3="","",SUMPRODUCT(--ISNUMBER(SEARCH(DisplayKW,$K3)))&gt;0)</f>
        <v>0</v>
      </c>
      <c r="N3" s="31" t="b">
        <f aca="false">IF($B3="","",SUMPRODUCT(--ISNUMBER(SEARCH(KeypadKW,$K3)))&gt;0)</f>
        <v>0</v>
      </c>
      <c r="O3" s="31" t="b">
        <f aca="false">IF($B3="","",SUMPRODUCT(--ISNUMBER(SEARCH(PowerKW,$K3)))&gt;0)</f>
        <v>1</v>
      </c>
      <c r="P3" s="31" t="b">
        <f aca="false">IF($B3="","",SUMPRODUCT(--ISNUMBER(SEARCH(SpeakerKW,$K3)))&gt;0)</f>
        <v>0</v>
      </c>
      <c r="Q3" s="31" t="b">
        <f aca="false">IF($B3="","",OR(SUMPRODUCT(--ISNUMBER(SEARCH(EmptyKW,$K3)))&gt;0,LOWER(TRIM($F3))="empty"))</f>
        <v>0</v>
      </c>
      <c r="R3" s="31" t="b">
        <f aca="false">IF($B3="","",OR(ISNUMBER(SEARCH("repair",$G3)),ISNUMBER(SEARCH("not working",$G3))))</f>
        <v>0</v>
      </c>
      <c r="S3" s="26" t="str">
        <f aca="false">IF(AND($B3&lt;&gt;"",$M3=TRUE(),$L3=FALSE(),$Q3=FALSE()),COUNTIFS($M$3:$M3,TRUE(),$L$3:$L3,FALSE(),$Q$3:$Q3,FALSE()),"")</f>
        <v/>
      </c>
      <c r="T3" s="26" t="str">
        <f aca="false">IF($B3="","",IF($Q3=TRUE(),"U1",IF($L3=TRUE(),"S1",IF($M3=TRUE(),"D"&amp;MIN(4,INT(($S3-1)/DisplayCapacity)+1),IF($N3=TRUE(),"K1",IF($O3=TRUE(),"P1",IF($P3=TRUE(),"U1",IF($R3=TRUE(),"U1","W"))))))))</f>
        <v>P1</v>
      </c>
      <c r="U3" s="26" t="str">
        <f aca="false">IF($T3="","",$T3&amp;"-"&amp;COUNTIF($T$3:T3,$T3))</f>
        <v>P1-1</v>
      </c>
      <c r="V3" s="26" t="str">
        <f aca="false">IF($B3="","",_xlfn.TEXTJOIN(" | ",TRUE(),IF($Q3=TRUE(),"Empty box - no physical device, verify status",""),IF(AND($P3=TRUE(),$L3=FALSE(),$M3=FALSE(),$N3=FALSE(),$O3=FALSE(),$Q3=FALSE()),"Speaker fault only - needs manual box assignment",""),IF(AND($R3=TRUE(),$L3=FALSE(),$M3=FALSE(),$N3=FALSE(),$O3=FALSE(),$P3=FALSE(),$Q3=FALSE()),"No fault detail given - needs technician inspection",""),IF(AND(COUNTIF($F$3:$F$252,$F3)&gt;1,LOWER(TRIM($F3))&lt;&gt;"empty"),"Duplicate Serial No - verify device identity",""),IF((--$L3+--$M3+--$N3+--$O3+--$P3)&gt;1,"Multiple fault types detected - review full details before repair","")))</f>
        <v/>
      </c>
      <c r="W3" s="26" t="n">
        <v>0</v>
      </c>
      <c r="X3" s="26"/>
    </row>
    <row r="4" customFormat="false" ht="15" hidden="false" customHeight="true" outlineLevel="0" collapsed="false">
      <c r="A4" s="32" t="n">
        <v>2</v>
      </c>
      <c r="B4" s="33" t="n">
        <v>46239.4763724884</v>
      </c>
      <c r="C4" s="32" t="s">
        <v>90</v>
      </c>
      <c r="D4" s="32" t="str">
        <f aca="false">IF($B4="","",IFERROR(VLOOKUP(TRIM($C4),ModelMap,2,FALSE()),TRIM($C4)))</f>
        <v>X628</v>
      </c>
      <c r="E4" s="32" t="s">
        <v>130</v>
      </c>
      <c r="F4" s="32" t="s">
        <v>131</v>
      </c>
      <c r="G4" s="32" t="s">
        <v>132</v>
      </c>
      <c r="H4" s="32"/>
      <c r="I4" s="32"/>
      <c r="J4" s="32" t="s">
        <v>133</v>
      </c>
      <c r="K4" s="32" t="str">
        <f aca="false">IF($B4="","",LOWER(TRIM($G4)&amp;" | "&amp;TRIM($H4)&amp;" | "&amp;TRIM($I4)))</f>
        <v>working |  | </v>
      </c>
      <c r="L4" s="34" t="b">
        <f aca="false">IF($B4="","",SUMPRODUCT(--ISNUMBER(SEARCH(SensorKW,$K4)))&gt;0)</f>
        <v>0</v>
      </c>
      <c r="M4" s="34" t="b">
        <f aca="false">IF($B4="","",SUMPRODUCT(--ISNUMBER(SEARCH(DisplayKW,$K4)))&gt;0)</f>
        <v>0</v>
      </c>
      <c r="N4" s="34" t="b">
        <f aca="false">IF($B4="","",SUMPRODUCT(--ISNUMBER(SEARCH(KeypadKW,$K4)))&gt;0)</f>
        <v>0</v>
      </c>
      <c r="O4" s="34" t="b">
        <f aca="false">IF($B4="","",SUMPRODUCT(--ISNUMBER(SEARCH(PowerKW,$K4)))&gt;0)</f>
        <v>0</v>
      </c>
      <c r="P4" s="34" t="b">
        <f aca="false">IF($B4="","",SUMPRODUCT(--ISNUMBER(SEARCH(SpeakerKW,$K4)))&gt;0)</f>
        <v>0</v>
      </c>
      <c r="Q4" s="34" t="b">
        <f aca="false">IF($B4="","",OR(SUMPRODUCT(--ISNUMBER(SEARCH(EmptyKW,$K4)))&gt;0,LOWER(TRIM($F4))="empty"))</f>
        <v>0</v>
      </c>
      <c r="R4" s="34" t="b">
        <f aca="false">IF($B4="","",OR(ISNUMBER(SEARCH("repair",$G4)),ISNUMBER(SEARCH("not working",$G4))))</f>
        <v>0</v>
      </c>
      <c r="S4" s="32" t="str">
        <f aca="false">IF(AND($B4&lt;&gt;"",$M4=TRUE(),$L4=FALSE(),$Q4=FALSE()),COUNTIFS($M$3:$M4,TRUE(),$L$3:$L4,FALSE(),$Q$3:$Q4,FALSE()),"")</f>
        <v/>
      </c>
      <c r="T4" s="32" t="str">
        <f aca="false">IF($B4="","",IF($Q4=TRUE(),"U1",IF($L4=TRUE(),"S1",IF($M4=TRUE(),"D"&amp;MIN(4,INT(($S4-1)/DisplayCapacity)+1),IF($N4=TRUE(),"K1",IF($O4=TRUE(),"P1",IF($P4=TRUE(),"U1",IF($R4=TRUE(),"U1","W"))))))))</f>
        <v>W</v>
      </c>
      <c r="U4" s="32" t="str">
        <f aca="false">IF($T4="","",$T4&amp;"-"&amp;COUNTIF($T$3:T4,$T4))</f>
        <v>W-1</v>
      </c>
      <c r="V4" s="32" t="str">
        <f aca="false">IF($B4="","",_xlfn.TEXTJOIN(" | ",TRUE(),IF($Q4=TRUE(),"Empty box - no physical device, verify status",""),IF(AND($P4=TRUE(),$L4=FALSE(),$M4=FALSE(),$N4=FALSE(),$O4=FALSE(),$Q4=FALSE()),"Speaker fault only - needs manual box assignment",""),IF(AND($R4=TRUE(),$L4=FALSE(),$M4=FALSE(),$N4=FALSE(),$O4=FALSE(),$P4=FALSE(),$Q4=FALSE()),"No fault detail given - needs technician inspection",""),IF(AND(COUNTIF($F$3:$F$252,$F4)&gt;1,LOWER(TRIM($F4))&lt;&gt;"empty"),"Duplicate Serial No - verify device identity",""),IF((--$L4+--$M4+--$N4+--$O4+--$P4)&gt;1,"Multiple fault types detected - review full details before repair","")))</f>
        <v/>
      </c>
      <c r="W4" s="32" t="n">
        <v>0</v>
      </c>
      <c r="X4" s="32"/>
    </row>
    <row r="5" customFormat="false" ht="15" hidden="false" customHeight="true" outlineLevel="0" collapsed="false">
      <c r="A5" s="26" t="n">
        <v>3</v>
      </c>
      <c r="B5" s="30" t="n">
        <v>46239.4821201273</v>
      </c>
      <c r="C5" s="26" t="s">
        <v>90</v>
      </c>
      <c r="D5" s="26" t="str">
        <f aca="false">IF($B5="","",IFERROR(VLOOKUP(TRIM($C5),ModelMap,2,FALSE()),TRIM($C5)))</f>
        <v>X628</v>
      </c>
      <c r="E5" s="26" t="s">
        <v>134</v>
      </c>
      <c r="F5" s="26" t="s">
        <v>135</v>
      </c>
      <c r="G5" s="26" t="s">
        <v>132</v>
      </c>
      <c r="H5" s="26"/>
      <c r="I5" s="26"/>
      <c r="J5" s="26" t="s">
        <v>129</v>
      </c>
      <c r="K5" s="26" t="str">
        <f aca="false">IF($B5="","",LOWER(TRIM($G5)&amp;" | "&amp;TRIM($H5)&amp;" | "&amp;TRIM($I5)))</f>
        <v>working |  | </v>
      </c>
      <c r="L5" s="31" t="b">
        <f aca="false">IF($B5="","",SUMPRODUCT(--ISNUMBER(SEARCH(SensorKW,$K5)))&gt;0)</f>
        <v>0</v>
      </c>
      <c r="M5" s="31" t="b">
        <f aca="false">IF($B5="","",SUMPRODUCT(--ISNUMBER(SEARCH(DisplayKW,$K5)))&gt;0)</f>
        <v>0</v>
      </c>
      <c r="N5" s="31" t="b">
        <f aca="false">IF($B5="","",SUMPRODUCT(--ISNUMBER(SEARCH(KeypadKW,$K5)))&gt;0)</f>
        <v>0</v>
      </c>
      <c r="O5" s="31" t="b">
        <f aca="false">IF($B5="","",SUMPRODUCT(--ISNUMBER(SEARCH(PowerKW,$K5)))&gt;0)</f>
        <v>0</v>
      </c>
      <c r="P5" s="31" t="b">
        <f aca="false">IF($B5="","",SUMPRODUCT(--ISNUMBER(SEARCH(SpeakerKW,$K5)))&gt;0)</f>
        <v>0</v>
      </c>
      <c r="Q5" s="31" t="b">
        <f aca="false">IF($B5="","",OR(SUMPRODUCT(--ISNUMBER(SEARCH(EmptyKW,$K5)))&gt;0,LOWER(TRIM($F5))="empty"))</f>
        <v>0</v>
      </c>
      <c r="R5" s="31" t="b">
        <f aca="false">IF($B5="","",OR(ISNUMBER(SEARCH("repair",$G5)),ISNUMBER(SEARCH("not working",$G5))))</f>
        <v>0</v>
      </c>
      <c r="S5" s="26" t="str">
        <f aca="false">IF(AND($B5&lt;&gt;"",$M5=TRUE(),$L5=FALSE(),$Q5=FALSE()),COUNTIFS($M$3:$M5,TRUE(),$L$3:$L5,FALSE(),$Q$3:$Q5,FALSE()),"")</f>
        <v/>
      </c>
      <c r="T5" s="26" t="str">
        <f aca="false">IF($B5="","",IF($Q5=TRUE(),"U1",IF($L5=TRUE(),"S1",IF($M5=TRUE(),"D"&amp;MIN(4,INT(($S5-1)/DisplayCapacity)+1),IF($N5=TRUE(),"K1",IF($O5=TRUE(),"P1",IF($P5=TRUE(),"U1",IF($R5=TRUE(),"U1","W"))))))))</f>
        <v>W</v>
      </c>
      <c r="U5" s="26" t="str">
        <f aca="false">IF($T5="","",$T5&amp;"-"&amp;COUNTIF($T$3:T5,$T5))</f>
        <v>W-2</v>
      </c>
      <c r="V5" s="26" t="str">
        <f aca="false">IF($B5="","",_xlfn.TEXTJOIN(" | ",TRUE(),IF($Q5=TRUE(),"Empty box - no physical device, verify status",""),IF(AND($P5=TRUE(),$L5=FALSE(),$M5=FALSE(),$N5=FALSE(),$O5=FALSE(),$Q5=FALSE()),"Speaker fault only - needs manual box assignment",""),IF(AND($R5=TRUE(),$L5=FALSE(),$M5=FALSE(),$N5=FALSE(),$O5=FALSE(),$P5=FALSE(),$Q5=FALSE()),"No fault detail given - needs technician inspection",""),IF(AND(COUNTIF($F$3:$F$252,$F5)&gt;1,LOWER(TRIM($F5))&lt;&gt;"empty"),"Duplicate Serial No - verify device identity",""),IF((--$L5+--$M5+--$N5+--$O5+--$P5)&gt;1,"Multiple fault types detected - review full details before repair","")))</f>
        <v/>
      </c>
      <c r="W5" s="26" t="n">
        <v>0</v>
      </c>
      <c r="X5" s="26"/>
    </row>
    <row r="6" customFormat="false" ht="15" hidden="false" customHeight="true" outlineLevel="0" collapsed="false">
      <c r="A6" s="32" t="n">
        <v>4</v>
      </c>
      <c r="B6" s="33" t="n">
        <v>46239.4949920255</v>
      </c>
      <c r="C6" s="32" t="s">
        <v>90</v>
      </c>
      <c r="D6" s="32" t="str">
        <f aca="false">IF($B6="","",IFERROR(VLOOKUP(TRIM($C6),ModelMap,2,FALSE()),TRIM($C6)))</f>
        <v>X628</v>
      </c>
      <c r="E6" s="32" t="s">
        <v>136</v>
      </c>
      <c r="F6" s="32" t="s">
        <v>137</v>
      </c>
      <c r="G6" s="32" t="s">
        <v>132</v>
      </c>
      <c r="H6" s="32"/>
      <c r="I6" s="32"/>
      <c r="J6" s="32" t="s">
        <v>129</v>
      </c>
      <c r="K6" s="32" t="str">
        <f aca="false">IF($B6="","",LOWER(TRIM($G6)&amp;" | "&amp;TRIM($H6)&amp;" | "&amp;TRIM($I6)))</f>
        <v>working |  | </v>
      </c>
      <c r="L6" s="34" t="b">
        <f aca="false">IF($B6="","",SUMPRODUCT(--ISNUMBER(SEARCH(SensorKW,$K6)))&gt;0)</f>
        <v>0</v>
      </c>
      <c r="M6" s="34" t="b">
        <f aca="false">IF($B6="","",SUMPRODUCT(--ISNUMBER(SEARCH(DisplayKW,$K6)))&gt;0)</f>
        <v>0</v>
      </c>
      <c r="N6" s="34" t="b">
        <f aca="false">IF($B6="","",SUMPRODUCT(--ISNUMBER(SEARCH(KeypadKW,$K6)))&gt;0)</f>
        <v>0</v>
      </c>
      <c r="O6" s="34" t="b">
        <f aca="false">IF($B6="","",SUMPRODUCT(--ISNUMBER(SEARCH(PowerKW,$K6)))&gt;0)</f>
        <v>0</v>
      </c>
      <c r="P6" s="34" t="b">
        <f aca="false">IF($B6="","",SUMPRODUCT(--ISNUMBER(SEARCH(SpeakerKW,$K6)))&gt;0)</f>
        <v>0</v>
      </c>
      <c r="Q6" s="34" t="b">
        <f aca="false">IF($B6="","",OR(SUMPRODUCT(--ISNUMBER(SEARCH(EmptyKW,$K6)))&gt;0,LOWER(TRIM($F6))="empty"))</f>
        <v>0</v>
      </c>
      <c r="R6" s="34" t="b">
        <f aca="false">IF($B6="","",OR(ISNUMBER(SEARCH("repair",$G6)),ISNUMBER(SEARCH("not working",$G6))))</f>
        <v>0</v>
      </c>
      <c r="S6" s="32" t="str">
        <f aca="false">IF(AND($B6&lt;&gt;"",$M6=TRUE(),$L6=FALSE(),$Q6=FALSE()),COUNTIFS($M$3:$M6,TRUE(),$L$3:$L6,FALSE(),$Q$3:$Q6,FALSE()),"")</f>
        <v/>
      </c>
      <c r="T6" s="32" t="str">
        <f aca="false">IF($B6="","",IF($Q6=TRUE(),"U1",IF($L6=TRUE(),"S1",IF($M6=TRUE(),"D"&amp;MIN(4,INT(($S6-1)/DisplayCapacity)+1),IF($N6=TRUE(),"K1",IF($O6=TRUE(),"P1",IF($P6=TRUE(),"U1",IF($R6=TRUE(),"U1","W"))))))))</f>
        <v>W</v>
      </c>
      <c r="U6" s="32" t="str">
        <f aca="false">IF($T6="","",$T6&amp;"-"&amp;COUNTIF($T$3:T6,$T6))</f>
        <v>W-3</v>
      </c>
      <c r="V6" s="32" t="str">
        <f aca="false">IF($B6="","",_xlfn.TEXTJOIN(" | ",TRUE(),IF($Q6=TRUE(),"Empty box - no physical device, verify status",""),IF(AND($P6=TRUE(),$L6=FALSE(),$M6=FALSE(),$N6=FALSE(),$O6=FALSE(),$Q6=FALSE()),"Speaker fault only - needs manual box assignment",""),IF(AND($R6=TRUE(),$L6=FALSE(),$M6=FALSE(),$N6=FALSE(),$O6=FALSE(),$P6=FALSE(),$Q6=FALSE()),"No fault detail given - needs technician inspection",""),IF(AND(COUNTIF($F$3:$F$252,$F6)&gt;1,LOWER(TRIM($F6))&lt;&gt;"empty"),"Duplicate Serial No - verify device identity",""),IF((--$L6+--$M6+--$N6+--$O6+--$P6)&gt;1,"Multiple fault types detected - review full details before repair","")))</f>
        <v/>
      </c>
      <c r="W6" s="32" t="n">
        <v>0</v>
      </c>
      <c r="X6" s="32"/>
    </row>
    <row r="7" customFormat="false" ht="15" hidden="false" customHeight="true" outlineLevel="0" collapsed="false">
      <c r="A7" s="26" t="n">
        <v>5</v>
      </c>
      <c r="B7" s="30" t="n">
        <v>46239.5010024537</v>
      </c>
      <c r="C7" s="26" t="s">
        <v>90</v>
      </c>
      <c r="D7" s="26" t="str">
        <f aca="false">IF($B7="","",IFERROR(VLOOKUP(TRIM($C7),ModelMap,2,FALSE()),TRIM($C7)))</f>
        <v>X628</v>
      </c>
      <c r="E7" s="26" t="s">
        <v>138</v>
      </c>
      <c r="F7" s="26" t="s">
        <v>139</v>
      </c>
      <c r="G7" s="26" t="s">
        <v>132</v>
      </c>
      <c r="H7" s="26"/>
      <c r="I7" s="26"/>
      <c r="J7" s="26" t="s">
        <v>133</v>
      </c>
      <c r="K7" s="26" t="str">
        <f aca="false">IF($B7="","",LOWER(TRIM($G7)&amp;" | "&amp;TRIM($H7)&amp;" | "&amp;TRIM($I7)))</f>
        <v>working |  | </v>
      </c>
      <c r="L7" s="31" t="b">
        <f aca="false">IF($B7="","",SUMPRODUCT(--ISNUMBER(SEARCH(SensorKW,$K7)))&gt;0)</f>
        <v>0</v>
      </c>
      <c r="M7" s="31" t="b">
        <f aca="false">IF($B7="","",SUMPRODUCT(--ISNUMBER(SEARCH(DisplayKW,$K7)))&gt;0)</f>
        <v>0</v>
      </c>
      <c r="N7" s="31" t="b">
        <f aca="false">IF($B7="","",SUMPRODUCT(--ISNUMBER(SEARCH(KeypadKW,$K7)))&gt;0)</f>
        <v>0</v>
      </c>
      <c r="O7" s="31" t="b">
        <f aca="false">IF($B7="","",SUMPRODUCT(--ISNUMBER(SEARCH(PowerKW,$K7)))&gt;0)</f>
        <v>0</v>
      </c>
      <c r="P7" s="31" t="b">
        <f aca="false">IF($B7="","",SUMPRODUCT(--ISNUMBER(SEARCH(SpeakerKW,$K7)))&gt;0)</f>
        <v>0</v>
      </c>
      <c r="Q7" s="31" t="b">
        <f aca="false">IF($B7="","",OR(SUMPRODUCT(--ISNUMBER(SEARCH(EmptyKW,$K7)))&gt;0,LOWER(TRIM($F7))="empty"))</f>
        <v>0</v>
      </c>
      <c r="R7" s="31" t="b">
        <f aca="false">IF($B7="","",OR(ISNUMBER(SEARCH("repair",$G7)),ISNUMBER(SEARCH("not working",$G7))))</f>
        <v>0</v>
      </c>
      <c r="S7" s="26" t="str">
        <f aca="false">IF(AND($B7&lt;&gt;"",$M7=TRUE(),$L7=FALSE(),$Q7=FALSE()),COUNTIFS($M$3:$M7,TRUE(),$L$3:$L7,FALSE(),$Q$3:$Q7,FALSE()),"")</f>
        <v/>
      </c>
      <c r="T7" s="26" t="str">
        <f aca="false">IF($B7="","",IF($Q7=TRUE(),"U1",IF($L7=TRUE(),"S1",IF($M7=TRUE(),"D"&amp;MIN(4,INT(($S7-1)/DisplayCapacity)+1),IF($N7=TRUE(),"K1",IF($O7=TRUE(),"P1",IF($P7=TRUE(),"U1",IF($R7=TRUE(),"U1","W"))))))))</f>
        <v>W</v>
      </c>
      <c r="U7" s="26" t="str">
        <f aca="false">IF($T7="","",$T7&amp;"-"&amp;COUNTIF($T$3:T7,$T7))</f>
        <v>W-4</v>
      </c>
      <c r="V7" s="26" t="str">
        <f aca="false">IF($B7="","",_xlfn.TEXTJOIN(" | ",TRUE(),IF($Q7=TRUE(),"Empty box - no physical device, verify status",""),IF(AND($P7=TRUE(),$L7=FALSE(),$M7=FALSE(),$N7=FALSE(),$O7=FALSE(),$Q7=FALSE()),"Speaker fault only - needs manual box assignment",""),IF(AND($R7=TRUE(),$L7=FALSE(),$M7=FALSE(),$N7=FALSE(),$O7=FALSE(),$P7=FALSE(),$Q7=FALSE()),"No fault detail given - needs technician inspection",""),IF(AND(COUNTIF($F$3:$F$252,$F7)&gt;1,LOWER(TRIM($F7))&lt;&gt;"empty"),"Duplicate Serial No - verify device identity",""),IF((--$L7+--$M7+--$N7+--$O7+--$P7)&gt;1,"Multiple fault types detected - review full details before repair","")))</f>
        <v/>
      </c>
      <c r="W7" s="26" t="n">
        <v>0</v>
      </c>
      <c r="X7" s="26"/>
    </row>
    <row r="8" customFormat="false" ht="15" hidden="false" customHeight="true" outlineLevel="0" collapsed="false">
      <c r="A8" s="32" t="n">
        <v>6</v>
      </c>
      <c r="B8" s="33" t="n">
        <v>46239.508362581</v>
      </c>
      <c r="C8" s="32" t="s">
        <v>90</v>
      </c>
      <c r="D8" s="32" t="str">
        <f aca="false">IF($B8="","",IFERROR(VLOOKUP(TRIM($C8),ModelMap,2,FALSE()),TRIM($C8)))</f>
        <v>X628</v>
      </c>
      <c r="E8" s="32" t="s">
        <v>140</v>
      </c>
      <c r="F8" s="32" t="s">
        <v>141</v>
      </c>
      <c r="G8" s="32" t="s">
        <v>142</v>
      </c>
      <c r="H8" s="32"/>
      <c r="I8" s="32"/>
      <c r="J8" s="32" t="s">
        <v>133</v>
      </c>
      <c r="K8" s="32" t="str">
        <f aca="false">IF($B8="","",LOWER(TRIM($G8)&amp;" | "&amp;TRIM($H8)&amp;" | "&amp;TRIM($I8)))</f>
        <v>have to repair |  | </v>
      </c>
      <c r="L8" s="34" t="b">
        <f aca="false">IF($B8="","",SUMPRODUCT(--ISNUMBER(SEARCH(SensorKW,$K8)))&gt;0)</f>
        <v>0</v>
      </c>
      <c r="M8" s="34" t="b">
        <f aca="false">IF($B8="","",SUMPRODUCT(--ISNUMBER(SEARCH(DisplayKW,$K8)))&gt;0)</f>
        <v>0</v>
      </c>
      <c r="N8" s="34" t="b">
        <f aca="false">IF($B8="","",SUMPRODUCT(--ISNUMBER(SEARCH(KeypadKW,$K8)))&gt;0)</f>
        <v>0</v>
      </c>
      <c r="O8" s="34" t="b">
        <f aca="false">IF($B8="","",SUMPRODUCT(--ISNUMBER(SEARCH(PowerKW,$K8)))&gt;0)</f>
        <v>0</v>
      </c>
      <c r="P8" s="34" t="b">
        <f aca="false">IF($B8="","",SUMPRODUCT(--ISNUMBER(SEARCH(SpeakerKW,$K8)))&gt;0)</f>
        <v>0</v>
      </c>
      <c r="Q8" s="34" t="b">
        <f aca="false">IF($B8="","",OR(SUMPRODUCT(--ISNUMBER(SEARCH(EmptyKW,$K8)))&gt;0,LOWER(TRIM($F8))="empty"))</f>
        <v>0</v>
      </c>
      <c r="R8" s="34" t="b">
        <f aca="false">IF($B8="","",OR(ISNUMBER(SEARCH("repair",$G8)),ISNUMBER(SEARCH("not working",$G8))))</f>
        <v>1</v>
      </c>
      <c r="S8" s="32" t="str">
        <f aca="false">IF(AND($B8&lt;&gt;"",$M8=TRUE(),$L8=FALSE(),$Q8=FALSE()),COUNTIFS($M$3:$M8,TRUE(),$L$3:$L8,FALSE(),$Q$3:$Q8,FALSE()),"")</f>
        <v/>
      </c>
      <c r="T8" s="32" t="str">
        <f aca="false">IF($B8="","",IF($Q8=TRUE(),"U1",IF($L8=TRUE(),"S1",IF($M8=TRUE(),"D"&amp;MIN(4,INT(($S8-1)/DisplayCapacity)+1),IF($N8=TRUE(),"K1",IF($O8=TRUE(),"P1",IF($P8=TRUE(),"U1",IF($R8=TRUE(),"U1","W"))))))))</f>
        <v>U1</v>
      </c>
      <c r="U8" s="32" t="str">
        <f aca="false">IF($T8="","",$T8&amp;"-"&amp;COUNTIF($T$3:T8,$T8))</f>
        <v>U1-1</v>
      </c>
      <c r="V8" s="32" t="str">
        <f aca="false">IF($B8="","",_xlfn.TEXTJOIN(" | ",TRUE(),IF($Q8=TRUE(),"Empty box - no physical device, verify status",""),IF(AND($P8=TRUE(),$L8=FALSE(),$M8=FALSE(),$N8=FALSE(),$O8=FALSE(),$Q8=FALSE()),"Speaker fault only - needs manual box assignment",""),IF(AND($R8=TRUE(),$L8=FALSE(),$M8=FALSE(),$N8=FALSE(),$O8=FALSE(),$P8=FALSE(),$Q8=FALSE()),"No fault detail given - needs technician inspection",""),IF(AND(COUNTIF($F$3:$F$252,$F8)&gt;1,LOWER(TRIM($F8))&lt;&gt;"empty"),"Duplicate Serial No - verify device identity",""),IF((--$L8+--$M8+--$N8+--$O8+--$P8)&gt;1,"Multiple fault types detected - review full details before repair","")))</f>
        <v>No fault detail given - needs technician inspection</v>
      </c>
      <c r="W8" s="32" t="n">
        <v>0</v>
      </c>
      <c r="X8" s="32"/>
    </row>
    <row r="9" customFormat="false" ht="15" hidden="false" customHeight="true" outlineLevel="0" collapsed="false">
      <c r="A9" s="26" t="n">
        <v>7</v>
      </c>
      <c r="B9" s="30" t="n">
        <v>46239.5119488195</v>
      </c>
      <c r="C9" s="26" t="s">
        <v>90</v>
      </c>
      <c r="D9" s="26" t="str">
        <f aca="false">IF($B9="","",IFERROR(VLOOKUP(TRIM($C9),ModelMap,2,FALSE()),TRIM($C9)))</f>
        <v>X628</v>
      </c>
      <c r="E9" s="26" t="s">
        <v>143</v>
      </c>
      <c r="F9" s="26" t="s">
        <v>144</v>
      </c>
      <c r="G9" s="26" t="s">
        <v>142</v>
      </c>
      <c r="H9" s="26" t="s">
        <v>145</v>
      </c>
      <c r="I9" s="26"/>
      <c r="J9" s="26" t="s">
        <v>133</v>
      </c>
      <c r="K9" s="26" t="str">
        <f aca="false">IF($B9="","",LOWER(TRIM($G9)&amp;" | "&amp;TRIM($H9)&amp;" | "&amp;TRIM($I9)))</f>
        <v>have to repair | display error | </v>
      </c>
      <c r="L9" s="31" t="b">
        <f aca="false">IF($B9="","",SUMPRODUCT(--ISNUMBER(SEARCH(SensorKW,$K9)))&gt;0)</f>
        <v>0</v>
      </c>
      <c r="M9" s="31" t="b">
        <f aca="false">IF($B9="","",SUMPRODUCT(--ISNUMBER(SEARCH(DisplayKW,$K9)))&gt;0)</f>
        <v>1</v>
      </c>
      <c r="N9" s="31" t="b">
        <f aca="false">IF($B9="","",SUMPRODUCT(--ISNUMBER(SEARCH(KeypadKW,$K9)))&gt;0)</f>
        <v>0</v>
      </c>
      <c r="O9" s="31" t="b">
        <f aca="false">IF($B9="","",SUMPRODUCT(--ISNUMBER(SEARCH(PowerKW,$K9)))&gt;0)</f>
        <v>0</v>
      </c>
      <c r="P9" s="31" t="b">
        <f aca="false">IF($B9="","",SUMPRODUCT(--ISNUMBER(SEARCH(SpeakerKW,$K9)))&gt;0)</f>
        <v>0</v>
      </c>
      <c r="Q9" s="31" t="b">
        <f aca="false">IF($B9="","",OR(SUMPRODUCT(--ISNUMBER(SEARCH(EmptyKW,$K9)))&gt;0,LOWER(TRIM($F9))="empty"))</f>
        <v>0</v>
      </c>
      <c r="R9" s="31" t="b">
        <f aca="false">IF($B9="","",OR(ISNUMBER(SEARCH("repair",$G9)),ISNUMBER(SEARCH("not working",$G9))))</f>
        <v>1</v>
      </c>
      <c r="S9" s="26" t="n">
        <f aca="false">IF(AND($B9&lt;&gt;"",$M9=TRUE(),$L9=FALSE(),$Q9=FALSE()),COUNTIFS($M$3:$M9,TRUE(),$L$3:$L9,FALSE(),$Q$3:$Q9,FALSE()),"")</f>
        <v>1</v>
      </c>
      <c r="T9" s="26" t="str">
        <f aca="false">IF($B9="","",IF($Q9=TRUE(),"U1",IF($L9=TRUE(),"S1",IF($M9=TRUE(),"D"&amp;MIN(4,INT(($S9-1)/DisplayCapacity)+1),IF($N9=TRUE(),"K1",IF($O9=TRUE(),"P1",IF($P9=TRUE(),"U1",IF($R9=TRUE(),"U1","W"))))))))</f>
        <v>D1</v>
      </c>
      <c r="U9" s="26" t="str">
        <f aca="false">IF($T9="","",$T9&amp;"-"&amp;COUNTIF($T$3:T9,$T9))</f>
        <v>D1-1</v>
      </c>
      <c r="V9" s="26" t="str">
        <f aca="false">IF($B9="","",_xlfn.TEXTJOIN(" | ",TRUE(),IF($Q9=TRUE(),"Empty box - no physical device, verify status",""),IF(AND($P9=TRUE(),$L9=FALSE(),$M9=FALSE(),$N9=FALSE(),$O9=FALSE(),$Q9=FALSE()),"Speaker fault only - needs manual box assignment",""),IF(AND($R9=TRUE(),$L9=FALSE(),$M9=FALSE(),$N9=FALSE(),$O9=FALSE(),$P9=FALSE(),$Q9=FALSE()),"No fault detail given - needs technician inspection",""),IF(AND(COUNTIF($F$3:$F$252,$F9)&gt;1,LOWER(TRIM($F9))&lt;&gt;"empty"),"Duplicate Serial No - verify device identity",""),IF((--$L9+--$M9+--$N9+--$O9+--$P9)&gt;1,"Multiple fault types detected - review full details before repair","")))</f>
        <v/>
      </c>
      <c r="W9" s="26" t="n">
        <v>0</v>
      </c>
      <c r="X9" s="26"/>
    </row>
    <row r="10" customFormat="false" ht="15" hidden="false" customHeight="true" outlineLevel="0" collapsed="false">
      <c r="A10" s="32" t="n">
        <v>8</v>
      </c>
      <c r="B10" s="33" t="n">
        <v>46239.5152217708</v>
      </c>
      <c r="C10" s="32" t="s">
        <v>90</v>
      </c>
      <c r="D10" s="32" t="str">
        <f aca="false">IF($B10="","",IFERROR(VLOOKUP(TRIM($C10),ModelMap,2,FALSE()),TRIM($C10)))</f>
        <v>X628</v>
      </c>
      <c r="E10" s="32" t="s">
        <v>146</v>
      </c>
      <c r="F10" s="32" t="s">
        <v>147</v>
      </c>
      <c r="G10" s="32" t="s">
        <v>132</v>
      </c>
      <c r="H10" s="32"/>
      <c r="I10" s="32"/>
      <c r="J10" s="32" t="s">
        <v>133</v>
      </c>
      <c r="K10" s="32" t="str">
        <f aca="false">IF($B10="","",LOWER(TRIM($G10)&amp;" | "&amp;TRIM($H10)&amp;" | "&amp;TRIM($I10)))</f>
        <v>working |  | </v>
      </c>
      <c r="L10" s="34" t="b">
        <f aca="false">IF($B10="","",SUMPRODUCT(--ISNUMBER(SEARCH(SensorKW,$K10)))&gt;0)</f>
        <v>0</v>
      </c>
      <c r="M10" s="34" t="b">
        <f aca="false">IF($B10="","",SUMPRODUCT(--ISNUMBER(SEARCH(DisplayKW,$K10)))&gt;0)</f>
        <v>0</v>
      </c>
      <c r="N10" s="34" t="b">
        <f aca="false">IF($B10="","",SUMPRODUCT(--ISNUMBER(SEARCH(KeypadKW,$K10)))&gt;0)</f>
        <v>0</v>
      </c>
      <c r="O10" s="34" t="b">
        <f aca="false">IF($B10="","",SUMPRODUCT(--ISNUMBER(SEARCH(PowerKW,$K10)))&gt;0)</f>
        <v>0</v>
      </c>
      <c r="P10" s="34" t="b">
        <f aca="false">IF($B10="","",SUMPRODUCT(--ISNUMBER(SEARCH(SpeakerKW,$K10)))&gt;0)</f>
        <v>0</v>
      </c>
      <c r="Q10" s="34" t="b">
        <f aca="false">IF($B10="","",OR(SUMPRODUCT(--ISNUMBER(SEARCH(EmptyKW,$K10)))&gt;0,LOWER(TRIM($F10))="empty"))</f>
        <v>0</v>
      </c>
      <c r="R10" s="34" t="b">
        <f aca="false">IF($B10="","",OR(ISNUMBER(SEARCH("repair",$G10)),ISNUMBER(SEARCH("not working",$G10))))</f>
        <v>0</v>
      </c>
      <c r="S10" s="32" t="str">
        <f aca="false">IF(AND($B10&lt;&gt;"",$M10=TRUE(),$L10=FALSE(),$Q10=FALSE()),COUNTIFS($M$3:$M10,TRUE(),$L$3:$L10,FALSE(),$Q$3:$Q10,FALSE()),"")</f>
        <v/>
      </c>
      <c r="T10" s="32" t="str">
        <f aca="false">IF($B10="","",IF($Q10=TRUE(),"U1",IF($L10=TRUE(),"S1",IF($M10=TRUE(),"D"&amp;MIN(4,INT(($S10-1)/DisplayCapacity)+1),IF($N10=TRUE(),"K1",IF($O10=TRUE(),"P1",IF($P10=TRUE(),"U1",IF($R10=TRUE(),"U1","W"))))))))</f>
        <v>W</v>
      </c>
      <c r="U10" s="32" t="str">
        <f aca="false">IF($T10="","",$T10&amp;"-"&amp;COUNTIF($T$3:T10,$T10))</f>
        <v>W-5</v>
      </c>
      <c r="V10" s="32" t="str">
        <f aca="false">IF($B10="","",_xlfn.TEXTJOIN(" | ",TRUE(),IF($Q10=TRUE(),"Empty box - no physical device, verify status",""),IF(AND($P10=TRUE(),$L10=FALSE(),$M10=FALSE(),$N10=FALSE(),$O10=FALSE(),$Q10=FALSE()),"Speaker fault only - needs manual box assignment",""),IF(AND($R10=TRUE(),$L10=FALSE(),$M10=FALSE(),$N10=FALSE(),$O10=FALSE(),$P10=FALSE(),$Q10=FALSE()),"No fault detail given - needs technician inspection",""),IF(AND(COUNTIF($F$3:$F$252,$F10)&gt;1,LOWER(TRIM($F10))&lt;&gt;"empty"),"Duplicate Serial No - verify device identity",""),IF((--$L10+--$M10+--$N10+--$O10+--$P10)&gt;1,"Multiple fault types detected - review full details before repair","")))</f>
        <v/>
      </c>
      <c r="W10" s="32" t="n">
        <v>0</v>
      </c>
      <c r="X10" s="32"/>
    </row>
    <row r="11" customFormat="false" ht="15" hidden="false" customHeight="true" outlineLevel="0" collapsed="false">
      <c r="A11" s="26" t="n">
        <v>9</v>
      </c>
      <c r="B11" s="30" t="n">
        <v>46239.5185323495</v>
      </c>
      <c r="C11" s="26" t="s">
        <v>90</v>
      </c>
      <c r="D11" s="26" t="str">
        <f aca="false">IF($B11="","",IFERROR(VLOOKUP(TRIM($C11),ModelMap,2,FALSE()),TRIM($C11)))</f>
        <v>X628</v>
      </c>
      <c r="E11" s="26" t="s">
        <v>148</v>
      </c>
      <c r="F11" s="26" t="s">
        <v>149</v>
      </c>
      <c r="G11" s="26" t="s">
        <v>150</v>
      </c>
      <c r="H11" s="26"/>
      <c r="I11" s="26" t="s">
        <v>151</v>
      </c>
      <c r="J11" s="26" t="s">
        <v>133</v>
      </c>
      <c r="K11" s="26" t="str">
        <f aca="false">IF($B11="","",LOWER(TRIM($G11)&amp;" | "&amp;TRIM($H11)&amp;" | "&amp;TRIM($I11)))</f>
        <v>working, have to repair |  | keypad have to repair</v>
      </c>
      <c r="L11" s="31" t="b">
        <f aca="false">IF($B11="","",SUMPRODUCT(--ISNUMBER(SEARCH(SensorKW,$K11)))&gt;0)</f>
        <v>0</v>
      </c>
      <c r="M11" s="31" t="b">
        <f aca="false">IF($B11="","",SUMPRODUCT(--ISNUMBER(SEARCH(DisplayKW,$K11)))&gt;0)</f>
        <v>0</v>
      </c>
      <c r="N11" s="31" t="b">
        <f aca="false">IF($B11="","",SUMPRODUCT(--ISNUMBER(SEARCH(KeypadKW,$K11)))&gt;0)</f>
        <v>1</v>
      </c>
      <c r="O11" s="31" t="b">
        <f aca="false">IF($B11="","",SUMPRODUCT(--ISNUMBER(SEARCH(PowerKW,$K11)))&gt;0)</f>
        <v>0</v>
      </c>
      <c r="P11" s="31" t="b">
        <f aca="false">IF($B11="","",SUMPRODUCT(--ISNUMBER(SEARCH(SpeakerKW,$K11)))&gt;0)</f>
        <v>0</v>
      </c>
      <c r="Q11" s="31" t="b">
        <f aca="false">IF($B11="","",OR(SUMPRODUCT(--ISNUMBER(SEARCH(EmptyKW,$K11)))&gt;0,LOWER(TRIM($F11))="empty"))</f>
        <v>0</v>
      </c>
      <c r="R11" s="31" t="b">
        <f aca="false">IF($B11="","",OR(ISNUMBER(SEARCH("repair",$G11)),ISNUMBER(SEARCH("not working",$G11))))</f>
        <v>1</v>
      </c>
      <c r="S11" s="26" t="str">
        <f aca="false">IF(AND($B11&lt;&gt;"",$M11=TRUE(),$L11=FALSE(),$Q11=FALSE()),COUNTIFS($M$3:$M11,TRUE(),$L$3:$L11,FALSE(),$Q$3:$Q11,FALSE()),"")</f>
        <v/>
      </c>
      <c r="T11" s="26" t="str">
        <f aca="false">IF($B11="","",IF($Q11=TRUE(),"U1",IF($L11=TRUE(),"S1",IF($M11=TRUE(),"D"&amp;MIN(4,INT(($S11-1)/DisplayCapacity)+1),IF($N11=TRUE(),"K1",IF($O11=TRUE(),"P1",IF($P11=TRUE(),"U1",IF($R11=TRUE(),"U1","W"))))))))</f>
        <v>K1</v>
      </c>
      <c r="U11" s="26" t="str">
        <f aca="false">IF($T11="","",$T11&amp;"-"&amp;COUNTIF($T$3:T11,$T11))</f>
        <v>K1-1</v>
      </c>
      <c r="V11" s="26" t="str">
        <f aca="false">IF($B11="","",_xlfn.TEXTJOIN(" | ",TRUE(),IF($Q11=TRUE(),"Empty box - no physical device, verify status",""),IF(AND($P11=TRUE(),$L11=FALSE(),$M11=FALSE(),$N11=FALSE(),$O11=FALSE(),$Q11=FALSE()),"Speaker fault only - needs manual box assignment",""),IF(AND($R11=TRUE(),$L11=FALSE(),$M11=FALSE(),$N11=FALSE(),$O11=FALSE(),$P11=FALSE(),$Q11=FALSE()),"No fault detail given - needs technician inspection",""),IF(AND(COUNTIF($F$3:$F$252,$F11)&gt;1,LOWER(TRIM($F11))&lt;&gt;"empty"),"Duplicate Serial No - verify device identity",""),IF((--$L11+--$M11+--$N11+--$O11+--$P11)&gt;1,"Multiple fault types detected - review full details before repair","")))</f>
        <v/>
      </c>
      <c r="W11" s="26" t="n">
        <v>0</v>
      </c>
      <c r="X11" s="26"/>
    </row>
    <row r="12" customFormat="false" ht="15" hidden="false" customHeight="true" outlineLevel="0" collapsed="false">
      <c r="A12" s="32" t="n">
        <v>10</v>
      </c>
      <c r="B12" s="33" t="n">
        <v>46239.5219057639</v>
      </c>
      <c r="C12" s="32" t="s">
        <v>92</v>
      </c>
      <c r="D12" s="32" t="str">
        <f aca="false">IF($B12="","",IFERROR(VLOOKUP(TRIM($C12),ModelMap,2,FALSE()),TRIM($C12)))</f>
        <v>TX628</v>
      </c>
      <c r="E12" s="32" t="s">
        <v>152</v>
      </c>
      <c r="F12" s="32" t="s">
        <v>153</v>
      </c>
      <c r="G12" s="32" t="s">
        <v>132</v>
      </c>
      <c r="H12" s="32"/>
      <c r="I12" s="32"/>
      <c r="J12" s="32" t="s">
        <v>133</v>
      </c>
      <c r="K12" s="32" t="str">
        <f aca="false">IF($B12="","",LOWER(TRIM($G12)&amp;" | "&amp;TRIM($H12)&amp;" | "&amp;TRIM($I12)))</f>
        <v>working |  | </v>
      </c>
      <c r="L12" s="34" t="b">
        <f aca="false">IF($B12="","",SUMPRODUCT(--ISNUMBER(SEARCH(SensorKW,$K12)))&gt;0)</f>
        <v>0</v>
      </c>
      <c r="M12" s="34" t="b">
        <f aca="false">IF($B12="","",SUMPRODUCT(--ISNUMBER(SEARCH(DisplayKW,$K12)))&gt;0)</f>
        <v>0</v>
      </c>
      <c r="N12" s="34" t="b">
        <f aca="false">IF($B12="","",SUMPRODUCT(--ISNUMBER(SEARCH(KeypadKW,$K12)))&gt;0)</f>
        <v>0</v>
      </c>
      <c r="O12" s="34" t="b">
        <f aca="false">IF($B12="","",SUMPRODUCT(--ISNUMBER(SEARCH(PowerKW,$K12)))&gt;0)</f>
        <v>0</v>
      </c>
      <c r="P12" s="34" t="b">
        <f aca="false">IF($B12="","",SUMPRODUCT(--ISNUMBER(SEARCH(SpeakerKW,$K12)))&gt;0)</f>
        <v>0</v>
      </c>
      <c r="Q12" s="34" t="b">
        <f aca="false">IF($B12="","",OR(SUMPRODUCT(--ISNUMBER(SEARCH(EmptyKW,$K12)))&gt;0,LOWER(TRIM($F12))="empty"))</f>
        <v>0</v>
      </c>
      <c r="R12" s="34" t="b">
        <f aca="false">IF($B12="","",OR(ISNUMBER(SEARCH("repair",$G12)),ISNUMBER(SEARCH("not working",$G12))))</f>
        <v>0</v>
      </c>
      <c r="S12" s="32" t="str">
        <f aca="false">IF(AND($B12&lt;&gt;"",$M12=TRUE(),$L12=FALSE(),$Q12=FALSE()),COUNTIFS($M$3:$M12,TRUE(),$L$3:$L12,FALSE(),$Q$3:$Q12,FALSE()),"")</f>
        <v/>
      </c>
      <c r="T12" s="32" t="str">
        <f aca="false">IF($B12="","",IF($Q12=TRUE(),"U1",IF($L12=TRUE(),"S1",IF($M12=TRUE(),"D"&amp;MIN(4,INT(($S12-1)/DisplayCapacity)+1),IF($N12=TRUE(),"K1",IF($O12=TRUE(),"P1",IF($P12=TRUE(),"U1",IF($R12=TRUE(),"U1","W"))))))))</f>
        <v>W</v>
      </c>
      <c r="U12" s="32" t="str">
        <f aca="false">IF($T12="","",$T12&amp;"-"&amp;COUNTIF($T$3:T12,$T12))</f>
        <v>W-6</v>
      </c>
      <c r="V12" s="32" t="str">
        <f aca="false">IF($B12="","",_xlfn.TEXTJOIN(" | ",TRUE(),IF($Q12=TRUE(),"Empty box - no physical device, verify status",""),IF(AND($P12=TRUE(),$L12=FALSE(),$M12=FALSE(),$N12=FALSE(),$O12=FALSE(),$Q12=FALSE()),"Speaker fault only - needs manual box assignment",""),IF(AND($R12=TRUE(),$L12=FALSE(),$M12=FALSE(),$N12=FALSE(),$O12=FALSE(),$P12=FALSE(),$Q12=FALSE()),"No fault detail given - needs technician inspection",""),IF(AND(COUNTIF($F$3:$F$252,$F12)&gt;1,LOWER(TRIM($F12))&lt;&gt;"empty"),"Duplicate Serial No - verify device identity",""),IF((--$L12+--$M12+--$N12+--$O12+--$P12)&gt;1,"Multiple fault types detected - review full details before repair","")))</f>
        <v/>
      </c>
      <c r="W12" s="32" t="n">
        <v>0</v>
      </c>
      <c r="X12" s="32"/>
    </row>
    <row r="13" customFormat="false" ht="15" hidden="false" customHeight="true" outlineLevel="0" collapsed="false">
      <c r="A13" s="26" t="n">
        <v>11</v>
      </c>
      <c r="B13" s="30" t="n">
        <v>46239.5372060301</v>
      </c>
      <c r="C13" s="26" t="s">
        <v>90</v>
      </c>
      <c r="D13" s="26" t="str">
        <f aca="false">IF($B13="","",IFERROR(VLOOKUP(TRIM($C13),ModelMap,2,FALSE()),TRIM($C13)))</f>
        <v>X628</v>
      </c>
      <c r="E13" s="26" t="s">
        <v>154</v>
      </c>
      <c r="F13" s="26" t="s">
        <v>155</v>
      </c>
      <c r="G13" s="26" t="s">
        <v>150</v>
      </c>
      <c r="H13" s="26" t="s">
        <v>156</v>
      </c>
      <c r="I13" s="26"/>
      <c r="J13" s="26" t="s">
        <v>133</v>
      </c>
      <c r="K13" s="26" t="str">
        <f aca="false">IF($B13="","",LOWER(TRIM($G13)&amp;" | "&amp;TRIM($H13)&amp;" | "&amp;TRIM($I13)))</f>
        <v>working, have to repair | no sensor and also have power issue some time device is off automatically | </v>
      </c>
      <c r="L13" s="31" t="b">
        <f aca="false">IF($B13="","",SUMPRODUCT(--ISNUMBER(SEARCH(SensorKW,$K13)))&gt;0)</f>
        <v>1</v>
      </c>
      <c r="M13" s="31" t="b">
        <f aca="false">IF($B13="","",SUMPRODUCT(--ISNUMBER(SEARCH(DisplayKW,$K13)))&gt;0)</f>
        <v>0</v>
      </c>
      <c r="N13" s="31" t="b">
        <f aca="false">IF($B13="","",SUMPRODUCT(--ISNUMBER(SEARCH(KeypadKW,$K13)))&gt;0)</f>
        <v>0</v>
      </c>
      <c r="O13" s="31" t="b">
        <f aca="false">IF($B13="","",SUMPRODUCT(--ISNUMBER(SEARCH(PowerKW,$K13)))&gt;0)</f>
        <v>1</v>
      </c>
      <c r="P13" s="31" t="b">
        <f aca="false">IF($B13="","",SUMPRODUCT(--ISNUMBER(SEARCH(SpeakerKW,$K13)))&gt;0)</f>
        <v>0</v>
      </c>
      <c r="Q13" s="31" t="b">
        <f aca="false">IF($B13="","",OR(SUMPRODUCT(--ISNUMBER(SEARCH(EmptyKW,$K13)))&gt;0,LOWER(TRIM($F13))="empty"))</f>
        <v>0</v>
      </c>
      <c r="R13" s="31" t="b">
        <f aca="false">IF($B13="","",OR(ISNUMBER(SEARCH("repair",$G13)),ISNUMBER(SEARCH("not working",$G13))))</f>
        <v>1</v>
      </c>
      <c r="S13" s="26" t="str">
        <f aca="false">IF(AND($B13&lt;&gt;"",$M13=TRUE(),$L13=FALSE(),$Q13=FALSE()),COUNTIFS($M$3:$M13,TRUE(),$L$3:$L13,FALSE(),$Q$3:$Q13,FALSE()),"")</f>
        <v/>
      </c>
      <c r="T13" s="26" t="str">
        <f aca="false">IF($B13="","",IF($Q13=TRUE(),"U1",IF($L13=TRUE(),"S1",IF($M13=TRUE(),"D"&amp;MIN(4,INT(($S13-1)/DisplayCapacity)+1),IF($N13=TRUE(),"K1",IF($O13=TRUE(),"P1",IF($P13=TRUE(),"U1",IF($R13=TRUE(),"U1","W"))))))))</f>
        <v>S1</v>
      </c>
      <c r="U13" s="26" t="str">
        <f aca="false">IF($T13="","",$T13&amp;"-"&amp;COUNTIF($T$3:T13,$T13))</f>
        <v>S1-1</v>
      </c>
      <c r="V13" s="26" t="str">
        <f aca="false">IF($B13="","",_xlfn.TEXTJOIN(" | ",TRUE(),IF($Q13=TRUE(),"Empty box - no physical device, verify status",""),IF(AND($P13=TRUE(),$L13=FALSE(),$M13=FALSE(),$N13=FALSE(),$O13=FALSE(),$Q13=FALSE()),"Speaker fault only - needs manual box assignment",""),IF(AND($R13=TRUE(),$L13=FALSE(),$M13=FALSE(),$N13=FALSE(),$O13=FALSE(),$P13=FALSE(),$Q13=FALSE()),"No fault detail given - needs technician inspection",""),IF(AND(COUNTIF($F$3:$F$252,$F13)&gt;1,LOWER(TRIM($F13))&lt;&gt;"empty"),"Duplicate Serial No - verify device identity",""),IF((--$L13+--$M13+--$N13+--$O13+--$P13)&gt;1,"Multiple fault types detected - review full details before repair","")))</f>
        <v>Multiple fault types detected - review full details before repair</v>
      </c>
      <c r="W13" s="26" t="n">
        <v>0</v>
      </c>
      <c r="X13" s="26"/>
    </row>
    <row r="14" customFormat="false" ht="15" hidden="false" customHeight="true" outlineLevel="0" collapsed="false">
      <c r="A14" s="32" t="n">
        <v>12</v>
      </c>
      <c r="B14" s="33" t="n">
        <v>46239.5429667708</v>
      </c>
      <c r="C14" s="32" t="s">
        <v>90</v>
      </c>
      <c r="D14" s="32" t="str">
        <f aca="false">IF($B14="","",IFERROR(VLOOKUP(TRIM($C14),ModelMap,2,FALSE()),TRIM($C14)))</f>
        <v>X628</v>
      </c>
      <c r="E14" s="32" t="s">
        <v>157</v>
      </c>
      <c r="F14" s="32" t="s">
        <v>158</v>
      </c>
      <c r="G14" s="32" t="s">
        <v>132</v>
      </c>
      <c r="H14" s="32"/>
      <c r="I14" s="32"/>
      <c r="J14" s="32" t="s">
        <v>129</v>
      </c>
      <c r="K14" s="32" t="str">
        <f aca="false">IF($B14="","",LOWER(TRIM($G14)&amp;" | "&amp;TRIM($H14)&amp;" | "&amp;TRIM($I14)))</f>
        <v>working |  | </v>
      </c>
      <c r="L14" s="34" t="b">
        <f aca="false">IF($B14="","",SUMPRODUCT(--ISNUMBER(SEARCH(SensorKW,$K14)))&gt;0)</f>
        <v>0</v>
      </c>
      <c r="M14" s="34" t="b">
        <f aca="false">IF($B14="","",SUMPRODUCT(--ISNUMBER(SEARCH(DisplayKW,$K14)))&gt;0)</f>
        <v>0</v>
      </c>
      <c r="N14" s="34" t="b">
        <f aca="false">IF($B14="","",SUMPRODUCT(--ISNUMBER(SEARCH(KeypadKW,$K14)))&gt;0)</f>
        <v>0</v>
      </c>
      <c r="O14" s="34" t="b">
        <f aca="false">IF($B14="","",SUMPRODUCT(--ISNUMBER(SEARCH(PowerKW,$K14)))&gt;0)</f>
        <v>0</v>
      </c>
      <c r="P14" s="34" t="b">
        <f aca="false">IF($B14="","",SUMPRODUCT(--ISNUMBER(SEARCH(SpeakerKW,$K14)))&gt;0)</f>
        <v>0</v>
      </c>
      <c r="Q14" s="34" t="b">
        <f aca="false">IF($B14="","",OR(SUMPRODUCT(--ISNUMBER(SEARCH(EmptyKW,$K14)))&gt;0,LOWER(TRIM($F14))="empty"))</f>
        <v>0</v>
      </c>
      <c r="R14" s="34" t="b">
        <f aca="false">IF($B14="","",OR(ISNUMBER(SEARCH("repair",$G14)),ISNUMBER(SEARCH("not working",$G14))))</f>
        <v>0</v>
      </c>
      <c r="S14" s="32" t="str">
        <f aca="false">IF(AND($B14&lt;&gt;"",$M14=TRUE(),$L14=FALSE(),$Q14=FALSE()),COUNTIFS($M$3:$M14,TRUE(),$L$3:$L14,FALSE(),$Q$3:$Q14,FALSE()),"")</f>
        <v/>
      </c>
      <c r="T14" s="32" t="str">
        <f aca="false">IF($B14="","",IF($Q14=TRUE(),"U1",IF($L14=TRUE(),"S1",IF($M14=TRUE(),"D"&amp;MIN(4,INT(($S14-1)/DisplayCapacity)+1),IF($N14=TRUE(),"K1",IF($O14=TRUE(),"P1",IF($P14=TRUE(),"U1",IF($R14=TRUE(),"U1","W"))))))))</f>
        <v>W</v>
      </c>
      <c r="U14" s="32" t="str">
        <f aca="false">IF($T14="","",$T14&amp;"-"&amp;COUNTIF($T$3:T14,$T14))</f>
        <v>W-7</v>
      </c>
      <c r="V14" s="32" t="str">
        <f aca="false">IF($B14="","",_xlfn.TEXTJOIN(" | ",TRUE(),IF($Q14=TRUE(),"Empty box - no physical device, verify status",""),IF(AND($P14=TRUE(),$L14=FALSE(),$M14=FALSE(),$N14=FALSE(),$O14=FALSE(),$Q14=FALSE()),"Speaker fault only - needs manual box assignment",""),IF(AND($R14=TRUE(),$L14=FALSE(),$M14=FALSE(),$N14=FALSE(),$O14=FALSE(),$P14=FALSE(),$Q14=FALSE()),"No fault detail given - needs technician inspection",""),IF(AND(COUNTIF($F$3:$F$252,$F14)&gt;1,LOWER(TRIM($F14))&lt;&gt;"empty"),"Duplicate Serial No - verify device identity",""),IF((--$L14+--$M14+--$N14+--$O14+--$P14)&gt;1,"Multiple fault types detected - review full details before repair","")))</f>
        <v/>
      </c>
      <c r="W14" s="32" t="n">
        <v>0</v>
      </c>
      <c r="X14" s="32"/>
    </row>
    <row r="15" customFormat="false" ht="15" hidden="false" customHeight="true" outlineLevel="0" collapsed="false">
      <c r="A15" s="26" t="n">
        <v>13</v>
      </c>
      <c r="B15" s="30" t="n">
        <v>46239.5480150463</v>
      </c>
      <c r="C15" s="26" t="s">
        <v>90</v>
      </c>
      <c r="D15" s="26" t="str">
        <f aca="false">IF($B15="","",IFERROR(VLOOKUP(TRIM($C15),ModelMap,2,FALSE()),TRIM($C15)))</f>
        <v>X628</v>
      </c>
      <c r="E15" s="26" t="s">
        <v>159</v>
      </c>
      <c r="F15" s="26" t="s">
        <v>160</v>
      </c>
      <c r="G15" s="26" t="s">
        <v>132</v>
      </c>
      <c r="H15" s="26"/>
      <c r="I15" s="26" t="s">
        <v>161</v>
      </c>
      <c r="J15" s="26" t="s">
        <v>129</v>
      </c>
      <c r="K15" s="26" t="str">
        <f aca="false">IF($B15="","",LOWER(TRIM($G15)&amp;" | "&amp;TRIM($H15)&amp;" | "&amp;TRIM($I15)))</f>
        <v>working |  | have to repair keypad</v>
      </c>
      <c r="L15" s="31" t="b">
        <f aca="false">IF($B15="","",SUMPRODUCT(--ISNUMBER(SEARCH(SensorKW,$K15)))&gt;0)</f>
        <v>0</v>
      </c>
      <c r="M15" s="31" t="b">
        <f aca="false">IF($B15="","",SUMPRODUCT(--ISNUMBER(SEARCH(DisplayKW,$K15)))&gt;0)</f>
        <v>0</v>
      </c>
      <c r="N15" s="31" t="b">
        <f aca="false">IF($B15="","",SUMPRODUCT(--ISNUMBER(SEARCH(KeypadKW,$K15)))&gt;0)</f>
        <v>1</v>
      </c>
      <c r="O15" s="31" t="b">
        <f aca="false">IF($B15="","",SUMPRODUCT(--ISNUMBER(SEARCH(PowerKW,$K15)))&gt;0)</f>
        <v>0</v>
      </c>
      <c r="P15" s="31" t="b">
        <f aca="false">IF($B15="","",SUMPRODUCT(--ISNUMBER(SEARCH(SpeakerKW,$K15)))&gt;0)</f>
        <v>0</v>
      </c>
      <c r="Q15" s="31" t="b">
        <f aca="false">IF($B15="","",OR(SUMPRODUCT(--ISNUMBER(SEARCH(EmptyKW,$K15)))&gt;0,LOWER(TRIM($F15))="empty"))</f>
        <v>0</v>
      </c>
      <c r="R15" s="31" t="b">
        <f aca="false">IF($B15="","",OR(ISNUMBER(SEARCH("repair",$G15)),ISNUMBER(SEARCH("not working",$G15))))</f>
        <v>0</v>
      </c>
      <c r="S15" s="26" t="str">
        <f aca="false">IF(AND($B15&lt;&gt;"",$M15=TRUE(),$L15=FALSE(),$Q15=FALSE()),COUNTIFS($M$3:$M15,TRUE(),$L$3:$L15,FALSE(),$Q$3:$Q15,FALSE()),"")</f>
        <v/>
      </c>
      <c r="T15" s="26" t="str">
        <f aca="false">IF($B15="","",IF($Q15=TRUE(),"U1",IF($L15=TRUE(),"S1",IF($M15=TRUE(),"D"&amp;MIN(4,INT(($S15-1)/DisplayCapacity)+1),IF($N15=TRUE(),"K1",IF($O15=TRUE(),"P1",IF($P15=TRUE(),"U1",IF($R15=TRUE(),"U1","W"))))))))</f>
        <v>K1</v>
      </c>
      <c r="U15" s="26" t="str">
        <f aca="false">IF($T15="","",$T15&amp;"-"&amp;COUNTIF($T$3:T15,$T15))</f>
        <v>K1-2</v>
      </c>
      <c r="V15" s="26" t="str">
        <f aca="false">IF($B15="","",_xlfn.TEXTJOIN(" | ",TRUE(),IF($Q15=TRUE(),"Empty box - no physical device, verify status",""),IF(AND($P15=TRUE(),$L15=FALSE(),$M15=FALSE(),$N15=FALSE(),$O15=FALSE(),$Q15=FALSE()),"Speaker fault only - needs manual box assignment",""),IF(AND($R15=TRUE(),$L15=FALSE(),$M15=FALSE(),$N15=FALSE(),$O15=FALSE(),$P15=FALSE(),$Q15=FALSE()),"No fault detail given - needs technician inspection",""),IF(AND(COUNTIF($F$3:$F$252,$F15)&gt;1,LOWER(TRIM($F15))&lt;&gt;"empty"),"Duplicate Serial No - verify device identity",""),IF((--$L15+--$M15+--$N15+--$O15+--$P15)&gt;1,"Multiple fault types detected - review full details before repair","")))</f>
        <v/>
      </c>
      <c r="W15" s="26" t="n">
        <v>0</v>
      </c>
      <c r="X15" s="26"/>
    </row>
    <row r="16" customFormat="false" ht="15" hidden="false" customHeight="true" outlineLevel="0" collapsed="false">
      <c r="A16" s="32" t="n">
        <v>14</v>
      </c>
      <c r="B16" s="33" t="n">
        <v>46239.5541725463</v>
      </c>
      <c r="C16" s="32" t="s">
        <v>90</v>
      </c>
      <c r="D16" s="32" t="str">
        <f aca="false">IF($B16="","",IFERROR(VLOOKUP(TRIM($C16),ModelMap,2,FALSE()),TRIM($C16)))</f>
        <v>X628</v>
      </c>
      <c r="E16" s="32" t="s">
        <v>162</v>
      </c>
      <c r="F16" s="32" t="s">
        <v>163</v>
      </c>
      <c r="G16" s="32" t="s">
        <v>132</v>
      </c>
      <c r="H16" s="32"/>
      <c r="I16" s="32" t="s">
        <v>164</v>
      </c>
      <c r="J16" s="32" t="s">
        <v>129</v>
      </c>
      <c r="K16" s="32" t="str">
        <f aca="false">IF($B16="","",LOWER(TRIM($G16)&amp;" | "&amp;TRIM($H16)&amp;" | "&amp;TRIM($I16)))</f>
        <v>working |  | display is not clear</v>
      </c>
      <c r="L16" s="34" t="b">
        <f aca="false">IF($B16="","",SUMPRODUCT(--ISNUMBER(SEARCH(SensorKW,$K16)))&gt;0)</f>
        <v>0</v>
      </c>
      <c r="M16" s="34" t="b">
        <f aca="false">IF($B16="","",SUMPRODUCT(--ISNUMBER(SEARCH(DisplayKW,$K16)))&gt;0)</f>
        <v>1</v>
      </c>
      <c r="N16" s="34" t="b">
        <f aca="false">IF($B16="","",SUMPRODUCT(--ISNUMBER(SEARCH(KeypadKW,$K16)))&gt;0)</f>
        <v>0</v>
      </c>
      <c r="O16" s="34" t="b">
        <f aca="false">IF($B16="","",SUMPRODUCT(--ISNUMBER(SEARCH(PowerKW,$K16)))&gt;0)</f>
        <v>0</v>
      </c>
      <c r="P16" s="34" t="b">
        <f aca="false">IF($B16="","",SUMPRODUCT(--ISNUMBER(SEARCH(SpeakerKW,$K16)))&gt;0)</f>
        <v>0</v>
      </c>
      <c r="Q16" s="34" t="b">
        <f aca="false">IF($B16="","",OR(SUMPRODUCT(--ISNUMBER(SEARCH(EmptyKW,$K16)))&gt;0,LOWER(TRIM($F16))="empty"))</f>
        <v>0</v>
      </c>
      <c r="R16" s="34" t="b">
        <f aca="false">IF($B16="","",OR(ISNUMBER(SEARCH("repair",$G16)),ISNUMBER(SEARCH("not working",$G16))))</f>
        <v>0</v>
      </c>
      <c r="S16" s="32" t="n">
        <f aca="false">IF(AND($B16&lt;&gt;"",$M16=TRUE(),$L16=FALSE(),$Q16=FALSE()),COUNTIFS($M$3:$M16,TRUE(),$L$3:$L16,FALSE(),$Q$3:$Q16,FALSE()),"")</f>
        <v>2</v>
      </c>
      <c r="T16" s="32" t="str">
        <f aca="false">IF($B16="","",IF($Q16=TRUE(),"U1",IF($L16=TRUE(),"S1",IF($M16=TRUE(),"D"&amp;MIN(4,INT(($S16-1)/DisplayCapacity)+1),IF($N16=TRUE(),"K1",IF($O16=TRUE(),"P1",IF($P16=TRUE(),"U1",IF($R16=TRUE(),"U1","W"))))))))</f>
        <v>D1</v>
      </c>
      <c r="U16" s="32" t="str">
        <f aca="false">IF($T16="","",$T16&amp;"-"&amp;COUNTIF($T$3:T16,$T16))</f>
        <v>D1-2</v>
      </c>
      <c r="V16" s="32" t="str">
        <f aca="false">IF($B16="","",_xlfn.TEXTJOIN(" | ",TRUE(),IF($Q16=TRUE(),"Empty box - no physical device, verify status",""),IF(AND($P16=TRUE(),$L16=FALSE(),$M16=FALSE(),$N16=FALSE(),$O16=FALSE(),$Q16=FALSE()),"Speaker fault only - needs manual box assignment",""),IF(AND($R16=TRUE(),$L16=FALSE(),$M16=FALSE(),$N16=FALSE(),$O16=FALSE(),$P16=FALSE(),$Q16=FALSE()),"No fault detail given - needs technician inspection",""),IF(AND(COUNTIF($F$3:$F$252,$F16)&gt;1,LOWER(TRIM($F16))&lt;&gt;"empty"),"Duplicate Serial No - verify device identity",""),IF((--$L16+--$M16+--$N16+--$O16+--$P16)&gt;1,"Multiple fault types detected - review full details before repair","")))</f>
        <v/>
      </c>
      <c r="W16" s="32" t="n">
        <v>0</v>
      </c>
      <c r="X16" s="32"/>
    </row>
    <row r="17" customFormat="false" ht="15" hidden="false" customHeight="true" outlineLevel="0" collapsed="false">
      <c r="A17" s="26" t="n">
        <v>15</v>
      </c>
      <c r="B17" s="30" t="n">
        <v>46239.558930625</v>
      </c>
      <c r="C17" s="26" t="s">
        <v>90</v>
      </c>
      <c r="D17" s="26" t="str">
        <f aca="false">IF($B17="","",IFERROR(VLOOKUP(TRIM($C17),ModelMap,2,FALSE()),TRIM($C17)))</f>
        <v>X628</v>
      </c>
      <c r="E17" s="26" t="s">
        <v>165</v>
      </c>
      <c r="F17" s="26" t="s">
        <v>166</v>
      </c>
      <c r="G17" s="26" t="s">
        <v>132</v>
      </c>
      <c r="H17" s="26"/>
      <c r="I17" s="26"/>
      <c r="J17" s="26" t="s">
        <v>133</v>
      </c>
      <c r="K17" s="26" t="str">
        <f aca="false">IF($B17="","",LOWER(TRIM($G17)&amp;" | "&amp;TRIM($H17)&amp;" | "&amp;TRIM($I17)))</f>
        <v>working |  | </v>
      </c>
      <c r="L17" s="31" t="b">
        <f aca="false">IF($B17="","",SUMPRODUCT(--ISNUMBER(SEARCH(SensorKW,$K17)))&gt;0)</f>
        <v>0</v>
      </c>
      <c r="M17" s="31" t="b">
        <f aca="false">IF($B17="","",SUMPRODUCT(--ISNUMBER(SEARCH(DisplayKW,$K17)))&gt;0)</f>
        <v>0</v>
      </c>
      <c r="N17" s="31" t="b">
        <f aca="false">IF($B17="","",SUMPRODUCT(--ISNUMBER(SEARCH(KeypadKW,$K17)))&gt;0)</f>
        <v>0</v>
      </c>
      <c r="O17" s="31" t="b">
        <f aca="false">IF($B17="","",SUMPRODUCT(--ISNUMBER(SEARCH(PowerKW,$K17)))&gt;0)</f>
        <v>0</v>
      </c>
      <c r="P17" s="31" t="b">
        <f aca="false">IF($B17="","",SUMPRODUCT(--ISNUMBER(SEARCH(SpeakerKW,$K17)))&gt;0)</f>
        <v>0</v>
      </c>
      <c r="Q17" s="31" t="b">
        <f aca="false">IF($B17="","",OR(SUMPRODUCT(--ISNUMBER(SEARCH(EmptyKW,$K17)))&gt;0,LOWER(TRIM($F17))="empty"))</f>
        <v>0</v>
      </c>
      <c r="R17" s="31" t="b">
        <f aca="false">IF($B17="","",OR(ISNUMBER(SEARCH("repair",$G17)),ISNUMBER(SEARCH("not working",$G17))))</f>
        <v>0</v>
      </c>
      <c r="S17" s="26" t="str">
        <f aca="false">IF(AND($B17&lt;&gt;"",$M17=TRUE(),$L17=FALSE(),$Q17=FALSE()),COUNTIFS($M$3:$M17,TRUE(),$L$3:$L17,FALSE(),$Q$3:$Q17,FALSE()),"")</f>
        <v/>
      </c>
      <c r="T17" s="26" t="str">
        <f aca="false">IF($B17="","",IF($Q17=TRUE(),"U1",IF($L17=TRUE(),"S1",IF($M17=TRUE(),"D"&amp;MIN(4,INT(($S17-1)/DisplayCapacity)+1),IF($N17=TRUE(),"K1",IF($O17=TRUE(),"P1",IF($P17=TRUE(),"U1",IF($R17=TRUE(),"U1","W"))))))))</f>
        <v>W</v>
      </c>
      <c r="U17" s="26" t="str">
        <f aca="false">IF($T17="","",$T17&amp;"-"&amp;COUNTIF($T$3:T17,$T17))</f>
        <v>W-8</v>
      </c>
      <c r="V17" s="26" t="str">
        <f aca="false">IF($B17="","",_xlfn.TEXTJOIN(" | ",TRUE(),IF($Q17=TRUE(),"Empty box - no physical device, verify status",""),IF(AND($P17=TRUE(),$L17=FALSE(),$M17=FALSE(),$N17=FALSE(),$O17=FALSE(),$Q17=FALSE()),"Speaker fault only - needs manual box assignment",""),IF(AND($R17=TRUE(),$L17=FALSE(),$M17=FALSE(),$N17=FALSE(),$O17=FALSE(),$P17=FALSE(),$Q17=FALSE()),"No fault detail given - needs technician inspection",""),IF(AND(COUNTIF($F$3:$F$252,$F17)&gt;1,LOWER(TRIM($F17))&lt;&gt;"empty"),"Duplicate Serial No - verify device identity",""),IF((--$L17+--$M17+--$N17+--$O17+--$P17)&gt;1,"Multiple fault types detected - review full details before repair","")))</f>
        <v/>
      </c>
      <c r="W17" s="26" t="n">
        <v>0</v>
      </c>
      <c r="X17" s="26"/>
    </row>
    <row r="18" customFormat="false" ht="15" hidden="false" customHeight="true" outlineLevel="0" collapsed="false">
      <c r="A18" s="32" t="n">
        <v>16</v>
      </c>
      <c r="B18" s="33" t="n">
        <v>46239.5651745718</v>
      </c>
      <c r="C18" s="32" t="s">
        <v>92</v>
      </c>
      <c r="D18" s="32" t="str">
        <f aca="false">IF($B18="","",IFERROR(VLOOKUP(TRIM($C18),ModelMap,2,FALSE()),TRIM($C18)))</f>
        <v>TX628</v>
      </c>
      <c r="E18" s="32" t="s">
        <v>167</v>
      </c>
      <c r="F18" s="32" t="s">
        <v>168</v>
      </c>
      <c r="G18" s="32" t="s">
        <v>132</v>
      </c>
      <c r="H18" s="32"/>
      <c r="I18" s="32"/>
      <c r="J18" s="32" t="s">
        <v>133</v>
      </c>
      <c r="K18" s="32" t="str">
        <f aca="false">IF($B18="","",LOWER(TRIM($G18)&amp;" | "&amp;TRIM($H18)&amp;" | "&amp;TRIM($I18)))</f>
        <v>working |  | </v>
      </c>
      <c r="L18" s="34" t="b">
        <f aca="false">IF($B18="","",SUMPRODUCT(--ISNUMBER(SEARCH(SensorKW,$K18)))&gt;0)</f>
        <v>0</v>
      </c>
      <c r="M18" s="34" t="b">
        <f aca="false">IF($B18="","",SUMPRODUCT(--ISNUMBER(SEARCH(DisplayKW,$K18)))&gt;0)</f>
        <v>0</v>
      </c>
      <c r="N18" s="34" t="b">
        <f aca="false">IF($B18="","",SUMPRODUCT(--ISNUMBER(SEARCH(KeypadKW,$K18)))&gt;0)</f>
        <v>0</v>
      </c>
      <c r="O18" s="34" t="b">
        <f aca="false">IF($B18="","",SUMPRODUCT(--ISNUMBER(SEARCH(PowerKW,$K18)))&gt;0)</f>
        <v>0</v>
      </c>
      <c r="P18" s="34" t="b">
        <f aca="false">IF($B18="","",SUMPRODUCT(--ISNUMBER(SEARCH(SpeakerKW,$K18)))&gt;0)</f>
        <v>0</v>
      </c>
      <c r="Q18" s="34" t="b">
        <f aca="false">IF($B18="","",OR(SUMPRODUCT(--ISNUMBER(SEARCH(EmptyKW,$K18)))&gt;0,LOWER(TRIM($F18))="empty"))</f>
        <v>0</v>
      </c>
      <c r="R18" s="34" t="b">
        <f aca="false">IF($B18="","",OR(ISNUMBER(SEARCH("repair",$G18)),ISNUMBER(SEARCH("not working",$G18))))</f>
        <v>0</v>
      </c>
      <c r="S18" s="32" t="str">
        <f aca="false">IF(AND($B18&lt;&gt;"",$M18=TRUE(),$L18=FALSE(),$Q18=FALSE()),COUNTIFS($M$3:$M18,TRUE(),$L$3:$L18,FALSE(),$Q$3:$Q18,FALSE()),"")</f>
        <v/>
      </c>
      <c r="T18" s="32" t="str">
        <f aca="false">IF($B18="","",IF($Q18=TRUE(),"U1",IF($L18=TRUE(),"S1",IF($M18=TRUE(),"D"&amp;MIN(4,INT(($S18-1)/DisplayCapacity)+1),IF($N18=TRUE(),"K1",IF($O18=TRUE(),"P1",IF($P18=TRUE(),"U1",IF($R18=TRUE(),"U1","W"))))))))</f>
        <v>W</v>
      </c>
      <c r="U18" s="32" t="str">
        <f aca="false">IF($T18="","",$T18&amp;"-"&amp;COUNTIF($T$3:T18,$T18))</f>
        <v>W-9</v>
      </c>
      <c r="V18" s="32" t="str">
        <f aca="false">IF($B18="","",_xlfn.TEXTJOIN(" | ",TRUE(),IF($Q18=TRUE(),"Empty box - no physical device, verify status",""),IF(AND($P18=TRUE(),$L18=FALSE(),$M18=FALSE(),$N18=FALSE(),$O18=FALSE(),$Q18=FALSE()),"Speaker fault only - needs manual box assignment",""),IF(AND($R18=TRUE(),$L18=FALSE(),$M18=FALSE(),$N18=FALSE(),$O18=FALSE(),$P18=FALSE(),$Q18=FALSE()),"No fault detail given - needs technician inspection",""),IF(AND(COUNTIF($F$3:$F$252,$F18)&gt;1,LOWER(TRIM($F18))&lt;&gt;"empty"),"Duplicate Serial No - verify device identity",""),IF((--$L18+--$M18+--$N18+--$O18+--$P18)&gt;1,"Multiple fault types detected - review full details before repair","")))</f>
        <v/>
      </c>
      <c r="W18" s="32" t="n">
        <v>0</v>
      </c>
      <c r="X18" s="32"/>
    </row>
    <row r="19" customFormat="false" ht="15" hidden="false" customHeight="true" outlineLevel="0" collapsed="false">
      <c r="A19" s="26" t="n">
        <v>17</v>
      </c>
      <c r="B19" s="30" t="n">
        <v>46239.5713300463</v>
      </c>
      <c r="C19" s="26" t="s">
        <v>90</v>
      </c>
      <c r="D19" s="26" t="str">
        <f aca="false">IF($B19="","",IFERROR(VLOOKUP(TRIM($C19),ModelMap,2,FALSE()),TRIM($C19)))</f>
        <v>X628</v>
      </c>
      <c r="E19" s="26" t="s">
        <v>169</v>
      </c>
      <c r="F19" s="26" t="s">
        <v>170</v>
      </c>
      <c r="G19" s="26" t="s">
        <v>132</v>
      </c>
      <c r="H19" s="26"/>
      <c r="I19" s="26"/>
      <c r="J19" s="26" t="s">
        <v>133</v>
      </c>
      <c r="K19" s="26" t="str">
        <f aca="false">IF($B19="","",LOWER(TRIM($G19)&amp;" | "&amp;TRIM($H19)&amp;" | "&amp;TRIM($I19)))</f>
        <v>working |  | </v>
      </c>
      <c r="L19" s="31" t="b">
        <f aca="false">IF($B19="","",SUMPRODUCT(--ISNUMBER(SEARCH(SensorKW,$K19)))&gt;0)</f>
        <v>0</v>
      </c>
      <c r="M19" s="31" t="b">
        <f aca="false">IF($B19="","",SUMPRODUCT(--ISNUMBER(SEARCH(DisplayKW,$K19)))&gt;0)</f>
        <v>0</v>
      </c>
      <c r="N19" s="31" t="b">
        <f aca="false">IF($B19="","",SUMPRODUCT(--ISNUMBER(SEARCH(KeypadKW,$K19)))&gt;0)</f>
        <v>0</v>
      </c>
      <c r="O19" s="31" t="b">
        <f aca="false">IF($B19="","",SUMPRODUCT(--ISNUMBER(SEARCH(PowerKW,$K19)))&gt;0)</f>
        <v>0</v>
      </c>
      <c r="P19" s="31" t="b">
        <f aca="false">IF($B19="","",SUMPRODUCT(--ISNUMBER(SEARCH(SpeakerKW,$K19)))&gt;0)</f>
        <v>0</v>
      </c>
      <c r="Q19" s="31" t="b">
        <f aca="false">IF($B19="","",OR(SUMPRODUCT(--ISNUMBER(SEARCH(EmptyKW,$K19)))&gt;0,LOWER(TRIM($F19))="empty"))</f>
        <v>0</v>
      </c>
      <c r="R19" s="31" t="b">
        <f aca="false">IF($B19="","",OR(ISNUMBER(SEARCH("repair",$G19)),ISNUMBER(SEARCH("not working",$G19))))</f>
        <v>0</v>
      </c>
      <c r="S19" s="26" t="str">
        <f aca="false">IF(AND($B19&lt;&gt;"",$M19=TRUE(),$L19=FALSE(),$Q19=FALSE()),COUNTIFS($M$3:$M19,TRUE(),$L$3:$L19,FALSE(),$Q$3:$Q19,FALSE()),"")</f>
        <v/>
      </c>
      <c r="T19" s="26" t="str">
        <f aca="false">IF($B19="","",IF($Q19=TRUE(),"U1",IF($L19=TRUE(),"S1",IF($M19=TRUE(),"D"&amp;MIN(4,INT(($S19-1)/DisplayCapacity)+1),IF($N19=TRUE(),"K1",IF($O19=TRUE(),"P1",IF($P19=TRUE(),"U1",IF($R19=TRUE(),"U1","W"))))))))</f>
        <v>W</v>
      </c>
      <c r="U19" s="26" t="str">
        <f aca="false">IF($T19="","",$T19&amp;"-"&amp;COUNTIF($T$3:T19,$T19))</f>
        <v>W-10</v>
      </c>
      <c r="V19" s="26" t="str">
        <f aca="false">IF($B19="","",_xlfn.TEXTJOIN(" | ",TRUE(),IF($Q19=TRUE(),"Empty box - no physical device, verify status",""),IF(AND($P19=TRUE(),$L19=FALSE(),$M19=FALSE(),$N19=FALSE(),$O19=FALSE(),$Q19=FALSE()),"Speaker fault only - needs manual box assignment",""),IF(AND($R19=TRUE(),$L19=FALSE(),$M19=FALSE(),$N19=FALSE(),$O19=FALSE(),$P19=FALSE(),$Q19=FALSE()),"No fault detail given - needs technician inspection",""),IF(AND(COUNTIF($F$3:$F$252,$F19)&gt;1,LOWER(TRIM($F19))&lt;&gt;"empty"),"Duplicate Serial No - verify device identity",""),IF((--$L19+--$M19+--$N19+--$O19+--$P19)&gt;1,"Multiple fault types detected - review full details before repair","")))</f>
        <v/>
      </c>
      <c r="W19" s="26" t="n">
        <v>0</v>
      </c>
      <c r="X19" s="26"/>
    </row>
    <row r="20" customFormat="false" ht="15" hidden="false" customHeight="true" outlineLevel="0" collapsed="false">
      <c r="A20" s="32" t="n">
        <v>18</v>
      </c>
      <c r="B20" s="33" t="n">
        <v>46239.6556313773</v>
      </c>
      <c r="C20" s="32" t="s">
        <v>90</v>
      </c>
      <c r="D20" s="32" t="str">
        <f aca="false">IF($B20="","",IFERROR(VLOOKUP(TRIM($C20),ModelMap,2,FALSE()),TRIM($C20)))</f>
        <v>X628</v>
      </c>
      <c r="E20" s="32" t="s">
        <v>171</v>
      </c>
      <c r="F20" s="32" t="s">
        <v>172</v>
      </c>
      <c r="G20" s="32" t="s">
        <v>132</v>
      </c>
      <c r="H20" s="32"/>
      <c r="I20" s="32" t="s">
        <v>164</v>
      </c>
      <c r="J20" s="32" t="s">
        <v>129</v>
      </c>
      <c r="K20" s="32" t="str">
        <f aca="false">IF($B20="","",LOWER(TRIM($G20)&amp;" | "&amp;TRIM($H20)&amp;" | "&amp;TRIM($I20)))</f>
        <v>working |  | display is not clear</v>
      </c>
      <c r="L20" s="34" t="b">
        <f aca="false">IF($B20="","",SUMPRODUCT(--ISNUMBER(SEARCH(SensorKW,$K20)))&gt;0)</f>
        <v>0</v>
      </c>
      <c r="M20" s="34" t="b">
        <f aca="false">IF($B20="","",SUMPRODUCT(--ISNUMBER(SEARCH(DisplayKW,$K20)))&gt;0)</f>
        <v>1</v>
      </c>
      <c r="N20" s="34" t="b">
        <f aca="false">IF($B20="","",SUMPRODUCT(--ISNUMBER(SEARCH(KeypadKW,$K20)))&gt;0)</f>
        <v>0</v>
      </c>
      <c r="O20" s="34" t="b">
        <f aca="false">IF($B20="","",SUMPRODUCT(--ISNUMBER(SEARCH(PowerKW,$K20)))&gt;0)</f>
        <v>0</v>
      </c>
      <c r="P20" s="34" t="b">
        <f aca="false">IF($B20="","",SUMPRODUCT(--ISNUMBER(SEARCH(SpeakerKW,$K20)))&gt;0)</f>
        <v>0</v>
      </c>
      <c r="Q20" s="34" t="b">
        <f aca="false">IF($B20="","",OR(SUMPRODUCT(--ISNUMBER(SEARCH(EmptyKW,$K20)))&gt;0,LOWER(TRIM($F20))="empty"))</f>
        <v>0</v>
      </c>
      <c r="R20" s="34" t="b">
        <f aca="false">IF($B20="","",OR(ISNUMBER(SEARCH("repair",$G20)),ISNUMBER(SEARCH("not working",$G20))))</f>
        <v>0</v>
      </c>
      <c r="S20" s="32" t="n">
        <f aca="false">IF(AND($B20&lt;&gt;"",$M20=TRUE(),$L20=FALSE(),$Q20=FALSE()),COUNTIFS($M$3:$M20,TRUE(),$L$3:$L20,FALSE(),$Q$3:$Q20,FALSE()),"")</f>
        <v>3</v>
      </c>
      <c r="T20" s="32" t="str">
        <f aca="false">IF($B20="","",IF($Q20=TRUE(),"U1",IF($L20=TRUE(),"S1",IF($M20=TRUE(),"D"&amp;MIN(4,INT(($S20-1)/DisplayCapacity)+1),IF($N20=TRUE(),"K1",IF($O20=TRUE(),"P1",IF($P20=TRUE(),"U1",IF($R20=TRUE(),"U1","W"))))))))</f>
        <v>D1</v>
      </c>
      <c r="U20" s="32" t="str">
        <f aca="false">IF($T20="","",$T20&amp;"-"&amp;COUNTIF($T$3:T20,$T20))</f>
        <v>D1-3</v>
      </c>
      <c r="V20" s="32" t="str">
        <f aca="false">IF($B20="","",_xlfn.TEXTJOIN(" | ",TRUE(),IF($Q20=TRUE(),"Empty box - no physical device, verify status",""),IF(AND($P20=TRUE(),$L20=FALSE(),$M20=FALSE(),$N20=FALSE(),$O20=FALSE(),$Q20=FALSE()),"Speaker fault only - needs manual box assignment",""),IF(AND($R20=TRUE(),$L20=FALSE(),$M20=FALSE(),$N20=FALSE(),$O20=FALSE(),$P20=FALSE(),$Q20=FALSE()),"No fault detail given - needs technician inspection",""),IF(AND(COUNTIF($F$3:$F$252,$F20)&gt;1,LOWER(TRIM($F20))&lt;&gt;"empty"),"Duplicate Serial No - verify device identity",""),IF((--$L20+--$M20+--$N20+--$O20+--$P20)&gt;1,"Multiple fault types detected - review full details before repair","")))</f>
        <v/>
      </c>
      <c r="W20" s="32" t="n">
        <v>0</v>
      </c>
      <c r="X20" s="32"/>
    </row>
    <row r="21" customFormat="false" ht="15" hidden="false" customHeight="true" outlineLevel="0" collapsed="false">
      <c r="A21" s="26" t="n">
        <v>19</v>
      </c>
      <c r="B21" s="30" t="n">
        <v>46239.6602803009</v>
      </c>
      <c r="C21" s="26" t="s">
        <v>95</v>
      </c>
      <c r="D21" s="26" t="str">
        <f aca="false">IF($B21="","",IFERROR(VLOOKUP(TRIM($C21),ModelMap,2,FALSE()),TRIM($C21)))</f>
        <v>iClock3000</v>
      </c>
      <c r="E21" s="26" t="s">
        <v>173</v>
      </c>
      <c r="F21" s="26" t="s">
        <v>174</v>
      </c>
      <c r="G21" s="26" t="s">
        <v>175</v>
      </c>
      <c r="H21" s="26"/>
      <c r="I21" s="26"/>
      <c r="J21" s="26"/>
      <c r="K21" s="26" t="str">
        <f aca="false">IF($B21="","",LOWER(TRIM($G21)&amp;" | "&amp;TRIM($H21)&amp;" | "&amp;TRIM($I21)))</f>
        <v>no power supply |  | </v>
      </c>
      <c r="L21" s="31" t="b">
        <f aca="false">IF($B21="","",SUMPRODUCT(--ISNUMBER(SEARCH(SensorKW,$K21)))&gt;0)</f>
        <v>0</v>
      </c>
      <c r="M21" s="31" t="b">
        <f aca="false">IF($B21="","",SUMPRODUCT(--ISNUMBER(SEARCH(DisplayKW,$K21)))&gt;0)</f>
        <v>0</v>
      </c>
      <c r="N21" s="31" t="b">
        <f aca="false">IF($B21="","",SUMPRODUCT(--ISNUMBER(SEARCH(KeypadKW,$K21)))&gt;0)</f>
        <v>0</v>
      </c>
      <c r="O21" s="31" t="b">
        <f aca="false">IF($B21="","",SUMPRODUCT(--ISNUMBER(SEARCH(PowerKW,$K21)))&gt;0)</f>
        <v>1</v>
      </c>
      <c r="P21" s="31" t="b">
        <f aca="false">IF($B21="","",SUMPRODUCT(--ISNUMBER(SEARCH(SpeakerKW,$K21)))&gt;0)</f>
        <v>0</v>
      </c>
      <c r="Q21" s="31" t="b">
        <f aca="false">IF($B21="","",OR(SUMPRODUCT(--ISNUMBER(SEARCH(EmptyKW,$K21)))&gt;0,LOWER(TRIM($F21))="empty"))</f>
        <v>0</v>
      </c>
      <c r="R21" s="31" t="b">
        <f aca="false">IF($B21="","",OR(ISNUMBER(SEARCH("repair",$G21)),ISNUMBER(SEARCH("not working",$G21))))</f>
        <v>0</v>
      </c>
      <c r="S21" s="26" t="str">
        <f aca="false">IF(AND($B21&lt;&gt;"",$M21=TRUE(),$L21=FALSE(),$Q21=FALSE()),COUNTIFS($M$3:$M21,TRUE(),$L$3:$L21,FALSE(),$Q$3:$Q21,FALSE()),"")</f>
        <v/>
      </c>
      <c r="T21" s="26" t="str">
        <f aca="false">IF($B21="","",IF($Q21=TRUE(),"U1",IF($L21=TRUE(),"S1",IF($M21=TRUE(),"D"&amp;MIN(4,INT(($S21-1)/DisplayCapacity)+1),IF($N21=TRUE(),"K1",IF($O21=TRUE(),"P1",IF($P21=TRUE(),"U1",IF($R21=TRUE(),"U1","W"))))))))</f>
        <v>P1</v>
      </c>
      <c r="U21" s="26" t="str">
        <f aca="false">IF($T21="","",$T21&amp;"-"&amp;COUNTIF($T$3:T21,$T21))</f>
        <v>P1-2</v>
      </c>
      <c r="V21" s="26" t="str">
        <f aca="false">IF($B21="","",_xlfn.TEXTJOIN(" | ",TRUE(),IF($Q21=TRUE(),"Empty box - no physical device, verify status",""),IF(AND($P21=TRUE(),$L21=FALSE(),$M21=FALSE(),$N21=FALSE(),$O21=FALSE(),$Q21=FALSE()),"Speaker fault only - needs manual box assignment",""),IF(AND($R21=TRUE(),$L21=FALSE(),$M21=FALSE(),$N21=FALSE(),$O21=FALSE(),$P21=FALSE(),$Q21=FALSE()),"No fault detail given - needs technician inspection",""),IF(AND(COUNTIF($F$3:$F$252,$F21)&gt;1,LOWER(TRIM($F21))&lt;&gt;"empty"),"Duplicate Serial No - verify device identity",""),IF((--$L21+--$M21+--$N21+--$O21+--$P21)&gt;1,"Multiple fault types detected - review full details before repair","")))</f>
        <v/>
      </c>
      <c r="W21" s="26" t="n">
        <v>0</v>
      </c>
      <c r="X21" s="26"/>
    </row>
    <row r="22" customFormat="false" ht="15" hidden="false" customHeight="true" outlineLevel="0" collapsed="false">
      <c r="A22" s="32" t="n">
        <v>20</v>
      </c>
      <c r="B22" s="33" t="n">
        <v>46240.4922615278</v>
      </c>
      <c r="C22" s="32" t="s">
        <v>91</v>
      </c>
      <c r="D22" s="32" t="str">
        <f aca="false">IF($B22="","",IFERROR(VLOOKUP(TRIM($C22),ModelMap,2,FALSE()),TRIM($C22)))</f>
        <v>X628</v>
      </c>
      <c r="E22" s="32" t="s">
        <v>176</v>
      </c>
      <c r="F22" s="32" t="s">
        <v>177</v>
      </c>
      <c r="G22" s="32" t="s">
        <v>150</v>
      </c>
      <c r="H22" s="32" t="s">
        <v>178</v>
      </c>
      <c r="I22" s="32"/>
      <c r="J22" s="32" t="s">
        <v>129</v>
      </c>
      <c r="K22" s="32" t="str">
        <f aca="false">IF($B22="","",LOWER(TRIM($G22)&amp;" | "&amp;TRIM($H22)&amp;" | "&amp;TRIM($I22)))</f>
        <v>working, have to repair | display have to replace and sensor board have issue some time | </v>
      </c>
      <c r="L22" s="34" t="b">
        <f aca="false">IF($B22="","",SUMPRODUCT(--ISNUMBER(SEARCH(SensorKW,$K22)))&gt;0)</f>
        <v>1</v>
      </c>
      <c r="M22" s="34" t="b">
        <f aca="false">IF($B22="","",SUMPRODUCT(--ISNUMBER(SEARCH(DisplayKW,$K22)))&gt;0)</f>
        <v>1</v>
      </c>
      <c r="N22" s="34" t="b">
        <f aca="false">IF($B22="","",SUMPRODUCT(--ISNUMBER(SEARCH(KeypadKW,$K22)))&gt;0)</f>
        <v>0</v>
      </c>
      <c r="O22" s="34" t="b">
        <f aca="false">IF($B22="","",SUMPRODUCT(--ISNUMBER(SEARCH(PowerKW,$K22)))&gt;0)</f>
        <v>0</v>
      </c>
      <c r="P22" s="34" t="b">
        <f aca="false">IF($B22="","",SUMPRODUCT(--ISNUMBER(SEARCH(SpeakerKW,$K22)))&gt;0)</f>
        <v>0</v>
      </c>
      <c r="Q22" s="34" t="b">
        <f aca="false">IF($B22="","",OR(SUMPRODUCT(--ISNUMBER(SEARCH(EmptyKW,$K22)))&gt;0,LOWER(TRIM($F22))="empty"))</f>
        <v>0</v>
      </c>
      <c r="R22" s="34" t="b">
        <f aca="false">IF($B22="","",OR(ISNUMBER(SEARCH("repair",$G22)),ISNUMBER(SEARCH("not working",$G22))))</f>
        <v>1</v>
      </c>
      <c r="S22" s="32" t="str">
        <f aca="false">IF(AND($B22&lt;&gt;"",$M22=TRUE(),$L22=FALSE(),$Q22=FALSE()),COUNTIFS($M$3:$M22,TRUE(),$L$3:$L22,FALSE(),$Q$3:$Q22,FALSE()),"")</f>
        <v/>
      </c>
      <c r="T22" s="32" t="str">
        <f aca="false">IF($B22="","",IF($Q22=TRUE(),"U1",IF($L22=TRUE(),"S1",IF($M22=TRUE(),"D"&amp;MIN(4,INT(($S22-1)/DisplayCapacity)+1),IF($N22=TRUE(),"K1",IF($O22=TRUE(),"P1",IF($P22=TRUE(),"U1",IF($R22=TRUE(),"U1","W"))))))))</f>
        <v>S1</v>
      </c>
      <c r="U22" s="32" t="str">
        <f aca="false">IF($T22="","",$T22&amp;"-"&amp;COUNTIF($T$3:T22,$T22))</f>
        <v>S1-2</v>
      </c>
      <c r="V22" s="32" t="str">
        <f aca="false">IF($B22="","",_xlfn.TEXTJOIN(" | ",TRUE(),IF($Q22=TRUE(),"Empty box - no physical device, verify status",""),IF(AND($P22=TRUE(),$L22=FALSE(),$M22=FALSE(),$N22=FALSE(),$O22=FALSE(),$Q22=FALSE()),"Speaker fault only - needs manual box assignment",""),IF(AND($R22=TRUE(),$L22=FALSE(),$M22=FALSE(),$N22=FALSE(),$O22=FALSE(),$P22=FALSE(),$Q22=FALSE()),"No fault detail given - needs technician inspection",""),IF(AND(COUNTIF($F$3:$F$252,$F22)&gt;1,LOWER(TRIM($F22))&lt;&gt;"empty"),"Duplicate Serial No - verify device identity",""),IF((--$L22+--$M22+--$N22+--$O22+--$P22)&gt;1,"Multiple fault types detected - review full details before repair","")))</f>
        <v>Multiple fault types detected - review full details before repair</v>
      </c>
      <c r="W22" s="32" t="n">
        <v>0</v>
      </c>
      <c r="X22" s="32"/>
    </row>
    <row r="23" customFormat="false" ht="15" hidden="false" customHeight="true" outlineLevel="0" collapsed="false">
      <c r="A23" s="26" t="n">
        <v>21</v>
      </c>
      <c r="B23" s="30" t="n">
        <v>46240.4979445255</v>
      </c>
      <c r="C23" s="26" t="s">
        <v>92</v>
      </c>
      <c r="D23" s="26" t="str">
        <f aca="false">IF($B23="","",IFERROR(VLOOKUP(TRIM($C23),ModelMap,2,FALSE()),TRIM($C23)))</f>
        <v>TX628</v>
      </c>
      <c r="E23" s="26" t="s">
        <v>179</v>
      </c>
      <c r="F23" s="26" t="s">
        <v>180</v>
      </c>
      <c r="G23" s="26" t="s">
        <v>132</v>
      </c>
      <c r="H23" s="26"/>
      <c r="I23" s="26"/>
      <c r="J23" s="26" t="s">
        <v>133</v>
      </c>
      <c r="K23" s="26" t="str">
        <f aca="false">IF($B23="","",LOWER(TRIM($G23)&amp;" | "&amp;TRIM($H23)&amp;" | "&amp;TRIM($I23)))</f>
        <v>working |  | </v>
      </c>
      <c r="L23" s="31" t="b">
        <f aca="false">IF($B23="","",SUMPRODUCT(--ISNUMBER(SEARCH(SensorKW,$K23)))&gt;0)</f>
        <v>0</v>
      </c>
      <c r="M23" s="31" t="b">
        <f aca="false">IF($B23="","",SUMPRODUCT(--ISNUMBER(SEARCH(DisplayKW,$K23)))&gt;0)</f>
        <v>0</v>
      </c>
      <c r="N23" s="31" t="b">
        <f aca="false">IF($B23="","",SUMPRODUCT(--ISNUMBER(SEARCH(KeypadKW,$K23)))&gt;0)</f>
        <v>0</v>
      </c>
      <c r="O23" s="31" t="b">
        <f aca="false">IF($B23="","",SUMPRODUCT(--ISNUMBER(SEARCH(PowerKW,$K23)))&gt;0)</f>
        <v>0</v>
      </c>
      <c r="P23" s="31" t="b">
        <f aca="false">IF($B23="","",SUMPRODUCT(--ISNUMBER(SEARCH(SpeakerKW,$K23)))&gt;0)</f>
        <v>0</v>
      </c>
      <c r="Q23" s="31" t="b">
        <f aca="false">IF($B23="","",OR(SUMPRODUCT(--ISNUMBER(SEARCH(EmptyKW,$K23)))&gt;0,LOWER(TRIM($F23))="empty"))</f>
        <v>0</v>
      </c>
      <c r="R23" s="31" t="b">
        <f aca="false">IF($B23="","",OR(ISNUMBER(SEARCH("repair",$G23)),ISNUMBER(SEARCH("not working",$G23))))</f>
        <v>0</v>
      </c>
      <c r="S23" s="26" t="str">
        <f aca="false">IF(AND($B23&lt;&gt;"",$M23=TRUE(),$L23=FALSE(),$Q23=FALSE()),COUNTIFS($M$3:$M23,TRUE(),$L$3:$L23,FALSE(),$Q$3:$Q23,FALSE()),"")</f>
        <v/>
      </c>
      <c r="T23" s="26" t="str">
        <f aca="false">IF($B23="","",IF($Q23=TRUE(),"U1",IF($L23=TRUE(),"S1",IF($M23=TRUE(),"D"&amp;MIN(4,INT(($S23-1)/DisplayCapacity)+1),IF($N23=TRUE(),"K1",IF($O23=TRUE(),"P1",IF($P23=TRUE(),"U1",IF($R23=TRUE(),"U1","W"))))))))</f>
        <v>W</v>
      </c>
      <c r="U23" s="26" t="str">
        <f aca="false">IF($T23="","",$T23&amp;"-"&amp;COUNTIF($T$3:T23,$T23))</f>
        <v>W-11</v>
      </c>
      <c r="V23" s="26" t="str">
        <f aca="false">IF($B23="","",_xlfn.TEXTJOIN(" | ",TRUE(),IF($Q23=TRUE(),"Empty box - no physical device, verify status",""),IF(AND($P23=TRUE(),$L23=FALSE(),$M23=FALSE(),$N23=FALSE(),$O23=FALSE(),$Q23=FALSE()),"Speaker fault only - needs manual box assignment",""),IF(AND($R23=TRUE(),$L23=FALSE(),$M23=FALSE(),$N23=FALSE(),$O23=FALSE(),$P23=FALSE(),$Q23=FALSE()),"No fault detail given - needs technician inspection",""),IF(AND(COUNTIF($F$3:$F$252,$F23)&gt;1,LOWER(TRIM($F23))&lt;&gt;"empty"),"Duplicate Serial No - verify device identity",""),IF((--$L23+--$M23+--$N23+--$O23+--$P23)&gt;1,"Multiple fault types detected - review full details before repair","")))</f>
        <v/>
      </c>
      <c r="W23" s="26" t="n">
        <v>0</v>
      </c>
      <c r="X23" s="26"/>
    </row>
    <row r="24" customFormat="false" ht="15" hidden="false" customHeight="true" outlineLevel="0" collapsed="false">
      <c r="A24" s="32" t="n">
        <v>22</v>
      </c>
      <c r="B24" s="33" t="n">
        <v>46240.503451875</v>
      </c>
      <c r="C24" s="32" t="s">
        <v>90</v>
      </c>
      <c r="D24" s="32" t="str">
        <f aca="false">IF($B24="","",IFERROR(VLOOKUP(TRIM($C24),ModelMap,2,FALSE()),TRIM($C24)))</f>
        <v>X628</v>
      </c>
      <c r="E24" s="32" t="s">
        <v>181</v>
      </c>
      <c r="F24" s="32" t="s">
        <v>182</v>
      </c>
      <c r="G24" s="32" t="s">
        <v>183</v>
      </c>
      <c r="H24" s="32" t="s">
        <v>184</v>
      </c>
      <c r="I24" s="32"/>
      <c r="J24" s="32" t="s">
        <v>133</v>
      </c>
      <c r="K24" s="32" t="str">
        <f aca="false">IF($B24="","",LOWER(TRIM($G24)&amp;" | "&amp;TRIM($H24)&amp;" | "&amp;TRIM($I24)))</f>
        <v>working, have to repair | no sensor | </v>
      </c>
      <c r="L24" s="34" t="b">
        <f aca="false">IF($B24="","",SUMPRODUCT(--ISNUMBER(SEARCH(SensorKW,$K24)))&gt;0)</f>
        <v>1</v>
      </c>
      <c r="M24" s="34" t="b">
        <f aca="false">IF($B24="","",SUMPRODUCT(--ISNUMBER(SEARCH(DisplayKW,$K24)))&gt;0)</f>
        <v>0</v>
      </c>
      <c r="N24" s="34" t="b">
        <f aca="false">IF($B24="","",SUMPRODUCT(--ISNUMBER(SEARCH(KeypadKW,$K24)))&gt;0)</f>
        <v>0</v>
      </c>
      <c r="O24" s="34" t="b">
        <f aca="false">IF($B24="","",SUMPRODUCT(--ISNUMBER(SEARCH(PowerKW,$K24)))&gt;0)</f>
        <v>0</v>
      </c>
      <c r="P24" s="34" t="b">
        <f aca="false">IF($B24="","",SUMPRODUCT(--ISNUMBER(SEARCH(SpeakerKW,$K24)))&gt;0)</f>
        <v>0</v>
      </c>
      <c r="Q24" s="34" t="b">
        <f aca="false">IF($B24="","",OR(SUMPRODUCT(--ISNUMBER(SEARCH(EmptyKW,$K24)))&gt;0,LOWER(TRIM($F24))="empty"))</f>
        <v>0</v>
      </c>
      <c r="R24" s="34" t="b">
        <f aca="false">IF($B24="","",OR(ISNUMBER(SEARCH("repair",$G24)),ISNUMBER(SEARCH("not working",$G24))))</f>
        <v>1</v>
      </c>
      <c r="S24" s="32" t="str">
        <f aca="false">IF(AND($B24&lt;&gt;"",$M24=TRUE(),$L24=FALSE(),$Q24=FALSE()),COUNTIFS($M$3:$M24,TRUE(),$L$3:$L24,FALSE(),$Q$3:$Q24,FALSE()),"")</f>
        <v/>
      </c>
      <c r="T24" s="32" t="str">
        <f aca="false">IF($B24="","",IF($Q24=TRUE(),"U1",IF($L24=TRUE(),"S1",IF($M24=TRUE(),"D"&amp;MIN(4,INT(($S24-1)/DisplayCapacity)+1),IF($N24=TRUE(),"K1",IF($O24=TRUE(),"P1",IF($P24=TRUE(),"U1",IF($R24=TRUE(),"U1","W"))))))))</f>
        <v>S1</v>
      </c>
      <c r="U24" s="32" t="str">
        <f aca="false">IF($T24="","",$T24&amp;"-"&amp;COUNTIF($T$3:T24,$T24))</f>
        <v>S1-3</v>
      </c>
      <c r="V24" s="32" t="str">
        <f aca="false">IF($B24="","",_xlfn.TEXTJOIN(" | ",TRUE(),IF($Q24=TRUE(),"Empty box - no physical device, verify status",""),IF(AND($P24=TRUE(),$L24=FALSE(),$M24=FALSE(),$N24=FALSE(),$O24=FALSE(),$Q24=FALSE()),"Speaker fault only - needs manual box assignment",""),IF(AND($R24=TRUE(),$L24=FALSE(),$M24=FALSE(),$N24=FALSE(),$O24=FALSE(),$P24=FALSE(),$Q24=FALSE()),"No fault detail given - needs technician inspection",""),IF(AND(COUNTIF($F$3:$F$252,$F24)&gt;1,LOWER(TRIM($F24))&lt;&gt;"empty"),"Duplicate Serial No - verify device identity",""),IF((--$L24+--$M24+--$N24+--$O24+--$P24)&gt;1,"Multiple fault types detected - review full details before repair","")))</f>
        <v/>
      </c>
      <c r="W24" s="32" t="n">
        <v>0</v>
      </c>
      <c r="X24" s="32"/>
    </row>
    <row r="25" customFormat="false" ht="15" hidden="false" customHeight="true" outlineLevel="0" collapsed="false">
      <c r="A25" s="26" t="n">
        <v>23</v>
      </c>
      <c r="B25" s="30" t="n">
        <v>46240.512018831</v>
      </c>
      <c r="C25" s="26" t="s">
        <v>93</v>
      </c>
      <c r="D25" s="26" t="str">
        <f aca="false">IF($B25="","",IFERROR(VLOOKUP(TRIM($C25),ModelMap,2,FALSE()),TRIM($C25)))</f>
        <v>X628-C</v>
      </c>
      <c r="E25" s="26" t="s">
        <v>185</v>
      </c>
      <c r="F25" s="26" t="s">
        <v>186</v>
      </c>
      <c r="G25" s="26" t="s">
        <v>132</v>
      </c>
      <c r="H25" s="26"/>
      <c r="I25" s="26"/>
      <c r="J25" s="26" t="s">
        <v>133</v>
      </c>
      <c r="K25" s="26" t="str">
        <f aca="false">IF($B25="","",LOWER(TRIM($G25)&amp;" | "&amp;TRIM($H25)&amp;" | "&amp;TRIM($I25)))</f>
        <v>working |  | </v>
      </c>
      <c r="L25" s="31" t="b">
        <f aca="false">IF($B25="","",SUMPRODUCT(--ISNUMBER(SEARCH(SensorKW,$K25)))&gt;0)</f>
        <v>0</v>
      </c>
      <c r="M25" s="31" t="b">
        <f aca="false">IF($B25="","",SUMPRODUCT(--ISNUMBER(SEARCH(DisplayKW,$K25)))&gt;0)</f>
        <v>0</v>
      </c>
      <c r="N25" s="31" t="b">
        <f aca="false">IF($B25="","",SUMPRODUCT(--ISNUMBER(SEARCH(KeypadKW,$K25)))&gt;0)</f>
        <v>0</v>
      </c>
      <c r="O25" s="31" t="b">
        <f aca="false">IF($B25="","",SUMPRODUCT(--ISNUMBER(SEARCH(PowerKW,$K25)))&gt;0)</f>
        <v>0</v>
      </c>
      <c r="P25" s="31" t="b">
        <f aca="false">IF($B25="","",SUMPRODUCT(--ISNUMBER(SEARCH(SpeakerKW,$K25)))&gt;0)</f>
        <v>0</v>
      </c>
      <c r="Q25" s="31" t="b">
        <f aca="false">IF($B25="","",OR(SUMPRODUCT(--ISNUMBER(SEARCH(EmptyKW,$K25)))&gt;0,LOWER(TRIM($F25))="empty"))</f>
        <v>0</v>
      </c>
      <c r="R25" s="31" t="b">
        <f aca="false">IF($B25="","",OR(ISNUMBER(SEARCH("repair",$G25)),ISNUMBER(SEARCH("not working",$G25))))</f>
        <v>0</v>
      </c>
      <c r="S25" s="26" t="str">
        <f aca="false">IF(AND($B25&lt;&gt;"",$M25=TRUE(),$L25=FALSE(),$Q25=FALSE()),COUNTIFS($M$3:$M25,TRUE(),$L$3:$L25,FALSE(),$Q$3:$Q25,FALSE()),"")</f>
        <v/>
      </c>
      <c r="T25" s="26" t="str">
        <f aca="false">IF($B25="","",IF($Q25=TRUE(),"U1",IF($L25=TRUE(),"S1",IF($M25=TRUE(),"D"&amp;MIN(4,INT(($S25-1)/DisplayCapacity)+1),IF($N25=TRUE(),"K1",IF($O25=TRUE(),"P1",IF($P25=TRUE(),"U1",IF($R25=TRUE(),"U1","W"))))))))</f>
        <v>W</v>
      </c>
      <c r="U25" s="26" t="str">
        <f aca="false">IF($T25="","",$T25&amp;"-"&amp;COUNTIF($T$3:T25,$T25))</f>
        <v>W-12</v>
      </c>
      <c r="V25" s="26" t="str">
        <f aca="false">IF($B25="","",_xlfn.TEXTJOIN(" | ",TRUE(),IF($Q25=TRUE(),"Empty box - no physical device, verify status",""),IF(AND($P25=TRUE(),$L25=FALSE(),$M25=FALSE(),$N25=FALSE(),$O25=FALSE(),$Q25=FALSE()),"Speaker fault only - needs manual box assignment",""),IF(AND($R25=TRUE(),$L25=FALSE(),$M25=FALSE(),$N25=FALSE(),$O25=FALSE(),$P25=FALSE(),$Q25=FALSE()),"No fault detail given - needs technician inspection",""),IF(AND(COUNTIF($F$3:$F$252,$F25)&gt;1,LOWER(TRIM($F25))&lt;&gt;"empty"),"Duplicate Serial No - verify device identity",""),IF((--$L25+--$M25+--$N25+--$O25+--$P25)&gt;1,"Multiple fault types detected - review full details before repair","")))</f>
        <v/>
      </c>
      <c r="W25" s="26" t="n">
        <v>0</v>
      </c>
      <c r="X25" s="26"/>
    </row>
    <row r="26" customFormat="false" ht="15" hidden="false" customHeight="true" outlineLevel="0" collapsed="false">
      <c r="A26" s="32" t="n">
        <v>24</v>
      </c>
      <c r="B26" s="33" t="n">
        <v>46240.5139550463</v>
      </c>
      <c r="C26" s="32" t="s">
        <v>90</v>
      </c>
      <c r="D26" s="32" t="str">
        <f aca="false">IF($B26="","",IFERROR(VLOOKUP(TRIM($C26),ModelMap,2,FALSE()),TRIM($C26)))</f>
        <v>X628</v>
      </c>
      <c r="E26" s="32" t="s">
        <v>187</v>
      </c>
      <c r="F26" s="32" t="s">
        <v>188</v>
      </c>
      <c r="G26" s="32" t="s">
        <v>132</v>
      </c>
      <c r="H26" s="32"/>
      <c r="I26" s="32"/>
      <c r="J26" s="32" t="s">
        <v>133</v>
      </c>
      <c r="K26" s="32" t="str">
        <f aca="false">IF($B26="","",LOWER(TRIM($G26)&amp;" | "&amp;TRIM($H26)&amp;" | "&amp;TRIM($I26)))</f>
        <v>working |  | </v>
      </c>
      <c r="L26" s="34" t="b">
        <f aca="false">IF($B26="","",SUMPRODUCT(--ISNUMBER(SEARCH(SensorKW,$K26)))&gt;0)</f>
        <v>0</v>
      </c>
      <c r="M26" s="34" t="b">
        <f aca="false">IF($B26="","",SUMPRODUCT(--ISNUMBER(SEARCH(DisplayKW,$K26)))&gt;0)</f>
        <v>0</v>
      </c>
      <c r="N26" s="34" t="b">
        <f aca="false">IF($B26="","",SUMPRODUCT(--ISNUMBER(SEARCH(KeypadKW,$K26)))&gt;0)</f>
        <v>0</v>
      </c>
      <c r="O26" s="34" t="b">
        <f aca="false">IF($B26="","",SUMPRODUCT(--ISNUMBER(SEARCH(PowerKW,$K26)))&gt;0)</f>
        <v>0</v>
      </c>
      <c r="P26" s="34" t="b">
        <f aca="false">IF($B26="","",SUMPRODUCT(--ISNUMBER(SEARCH(SpeakerKW,$K26)))&gt;0)</f>
        <v>0</v>
      </c>
      <c r="Q26" s="34" t="b">
        <f aca="false">IF($B26="","",OR(SUMPRODUCT(--ISNUMBER(SEARCH(EmptyKW,$K26)))&gt;0,LOWER(TRIM($F26))="empty"))</f>
        <v>0</v>
      </c>
      <c r="R26" s="34" t="b">
        <f aca="false">IF($B26="","",OR(ISNUMBER(SEARCH("repair",$G26)),ISNUMBER(SEARCH("not working",$G26))))</f>
        <v>0</v>
      </c>
      <c r="S26" s="32" t="str">
        <f aca="false">IF(AND($B26&lt;&gt;"",$M26=TRUE(),$L26=FALSE(),$Q26=FALSE()),COUNTIFS($M$3:$M26,TRUE(),$L$3:$L26,FALSE(),$Q$3:$Q26,FALSE()),"")</f>
        <v/>
      </c>
      <c r="T26" s="32" t="str">
        <f aca="false">IF($B26="","",IF($Q26=TRUE(),"U1",IF($L26=TRUE(),"S1",IF($M26=TRUE(),"D"&amp;MIN(4,INT(($S26-1)/DisplayCapacity)+1),IF($N26=TRUE(),"K1",IF($O26=TRUE(),"P1",IF($P26=TRUE(),"U1",IF($R26=TRUE(),"U1","W"))))))))</f>
        <v>W</v>
      </c>
      <c r="U26" s="32" t="str">
        <f aca="false">IF($T26="","",$T26&amp;"-"&amp;COUNTIF($T$3:T26,$T26))</f>
        <v>W-13</v>
      </c>
      <c r="V26" s="32" t="str">
        <f aca="false">IF($B26="","",_xlfn.TEXTJOIN(" | ",TRUE(),IF($Q26=TRUE(),"Empty box - no physical device, verify status",""),IF(AND($P26=TRUE(),$L26=FALSE(),$M26=FALSE(),$N26=FALSE(),$O26=FALSE(),$Q26=FALSE()),"Speaker fault only - needs manual box assignment",""),IF(AND($R26=TRUE(),$L26=FALSE(),$M26=FALSE(),$N26=FALSE(),$O26=FALSE(),$P26=FALSE(),$Q26=FALSE()),"No fault detail given - needs technician inspection",""),IF(AND(COUNTIF($F$3:$F$252,$F26)&gt;1,LOWER(TRIM($F26))&lt;&gt;"empty"),"Duplicate Serial No - verify device identity",""),IF((--$L26+--$M26+--$N26+--$O26+--$P26)&gt;1,"Multiple fault types detected - review full details before repair","")))</f>
        <v/>
      </c>
      <c r="W26" s="32" t="n">
        <v>0</v>
      </c>
      <c r="X26" s="32"/>
    </row>
    <row r="27" customFormat="false" ht="15" hidden="false" customHeight="true" outlineLevel="0" collapsed="false">
      <c r="A27" s="26" t="n">
        <v>25</v>
      </c>
      <c r="B27" s="30" t="n">
        <v>46240.5172010648</v>
      </c>
      <c r="C27" s="26" t="s">
        <v>93</v>
      </c>
      <c r="D27" s="26" t="str">
        <f aca="false">IF($B27="","",IFERROR(VLOOKUP(TRIM($C27),ModelMap,2,FALSE()),TRIM($C27)))</f>
        <v>X628-C</v>
      </c>
      <c r="E27" s="26" t="s">
        <v>189</v>
      </c>
      <c r="F27" s="26" t="s">
        <v>190</v>
      </c>
      <c r="G27" s="26" t="s">
        <v>150</v>
      </c>
      <c r="H27" s="26" t="s">
        <v>191</v>
      </c>
      <c r="I27" s="26"/>
      <c r="J27" s="26" t="s">
        <v>133</v>
      </c>
      <c r="K27" s="26" t="str">
        <f aca="false">IF($B27="","",LOWER(TRIM($G27)&amp;" | "&amp;TRIM($H27)&amp;" | "&amp;TRIM($I27)))</f>
        <v>working, have to repair | sensor is not working | </v>
      </c>
      <c r="L27" s="31" t="b">
        <f aca="false">IF($B27="","",SUMPRODUCT(--ISNUMBER(SEARCH(SensorKW,$K27)))&gt;0)</f>
        <v>1</v>
      </c>
      <c r="M27" s="31" t="b">
        <f aca="false">IF($B27="","",SUMPRODUCT(--ISNUMBER(SEARCH(DisplayKW,$K27)))&gt;0)</f>
        <v>0</v>
      </c>
      <c r="N27" s="31" t="b">
        <f aca="false">IF($B27="","",SUMPRODUCT(--ISNUMBER(SEARCH(KeypadKW,$K27)))&gt;0)</f>
        <v>0</v>
      </c>
      <c r="O27" s="31" t="b">
        <f aca="false">IF($B27="","",SUMPRODUCT(--ISNUMBER(SEARCH(PowerKW,$K27)))&gt;0)</f>
        <v>0</v>
      </c>
      <c r="P27" s="31" t="b">
        <f aca="false">IF($B27="","",SUMPRODUCT(--ISNUMBER(SEARCH(SpeakerKW,$K27)))&gt;0)</f>
        <v>0</v>
      </c>
      <c r="Q27" s="31" t="b">
        <f aca="false">IF($B27="","",OR(SUMPRODUCT(--ISNUMBER(SEARCH(EmptyKW,$K27)))&gt;0,LOWER(TRIM($F27))="empty"))</f>
        <v>0</v>
      </c>
      <c r="R27" s="31" t="b">
        <f aca="false">IF($B27="","",OR(ISNUMBER(SEARCH("repair",$G27)),ISNUMBER(SEARCH("not working",$G27))))</f>
        <v>1</v>
      </c>
      <c r="S27" s="26" t="str">
        <f aca="false">IF(AND($B27&lt;&gt;"",$M27=TRUE(),$L27=FALSE(),$Q27=FALSE()),COUNTIFS($M$3:$M27,TRUE(),$L$3:$L27,FALSE(),$Q$3:$Q27,FALSE()),"")</f>
        <v/>
      </c>
      <c r="T27" s="26" t="str">
        <f aca="false">IF($B27="","",IF($Q27=TRUE(),"U1",IF($L27=TRUE(),"S1",IF($M27=TRUE(),"D"&amp;MIN(4,INT(($S27-1)/DisplayCapacity)+1),IF($N27=TRUE(),"K1",IF($O27=TRUE(),"P1",IF($P27=TRUE(),"U1",IF($R27=TRUE(),"U1","W"))))))))</f>
        <v>S1</v>
      </c>
      <c r="U27" s="26" t="str">
        <f aca="false">IF($T27="","",$T27&amp;"-"&amp;COUNTIF($T$3:T27,$T27))</f>
        <v>S1-4</v>
      </c>
      <c r="V27" s="26" t="str">
        <f aca="false">IF($B27="","",_xlfn.TEXTJOIN(" | ",TRUE(),IF($Q27=TRUE(),"Empty box - no physical device, verify status",""),IF(AND($P27=TRUE(),$L27=FALSE(),$M27=FALSE(),$N27=FALSE(),$O27=FALSE(),$Q27=FALSE()),"Speaker fault only - needs manual box assignment",""),IF(AND($R27=TRUE(),$L27=FALSE(),$M27=FALSE(),$N27=FALSE(),$O27=FALSE(),$P27=FALSE(),$Q27=FALSE()),"No fault detail given - needs technician inspection",""),IF(AND(COUNTIF($F$3:$F$252,$F27)&gt;1,LOWER(TRIM($F27))&lt;&gt;"empty"),"Duplicate Serial No - verify device identity",""),IF((--$L27+--$M27+--$N27+--$O27+--$P27)&gt;1,"Multiple fault types detected - review full details before repair","")))</f>
        <v>Duplicate Serial No - verify device identity</v>
      </c>
      <c r="W27" s="26" t="n">
        <v>0</v>
      </c>
      <c r="X27" s="26"/>
    </row>
    <row r="28" customFormat="false" ht="15" hidden="false" customHeight="true" outlineLevel="0" collapsed="false">
      <c r="A28" s="32" t="n">
        <v>26</v>
      </c>
      <c r="B28" s="33" t="n">
        <v>46240.5212167245</v>
      </c>
      <c r="C28" s="32" t="s">
        <v>90</v>
      </c>
      <c r="D28" s="32" t="str">
        <f aca="false">IF($B28="","",IFERROR(VLOOKUP(TRIM($C28),ModelMap,2,FALSE()),TRIM($C28)))</f>
        <v>X628</v>
      </c>
      <c r="E28" s="32" t="s">
        <v>192</v>
      </c>
      <c r="F28" s="32" t="s">
        <v>193</v>
      </c>
      <c r="G28" s="32" t="s">
        <v>132</v>
      </c>
      <c r="H28" s="32"/>
      <c r="I28" s="32"/>
      <c r="J28" s="32" t="s">
        <v>133</v>
      </c>
      <c r="K28" s="32" t="str">
        <f aca="false">IF($B28="","",LOWER(TRIM($G28)&amp;" | "&amp;TRIM($H28)&amp;" | "&amp;TRIM($I28)))</f>
        <v>working |  | </v>
      </c>
      <c r="L28" s="34" t="b">
        <f aca="false">IF($B28="","",SUMPRODUCT(--ISNUMBER(SEARCH(SensorKW,$K28)))&gt;0)</f>
        <v>0</v>
      </c>
      <c r="M28" s="34" t="b">
        <f aca="false">IF($B28="","",SUMPRODUCT(--ISNUMBER(SEARCH(DisplayKW,$K28)))&gt;0)</f>
        <v>0</v>
      </c>
      <c r="N28" s="34" t="b">
        <f aca="false">IF($B28="","",SUMPRODUCT(--ISNUMBER(SEARCH(KeypadKW,$K28)))&gt;0)</f>
        <v>0</v>
      </c>
      <c r="O28" s="34" t="b">
        <f aca="false">IF($B28="","",SUMPRODUCT(--ISNUMBER(SEARCH(PowerKW,$K28)))&gt;0)</f>
        <v>0</v>
      </c>
      <c r="P28" s="34" t="b">
        <f aca="false">IF($B28="","",SUMPRODUCT(--ISNUMBER(SEARCH(SpeakerKW,$K28)))&gt;0)</f>
        <v>0</v>
      </c>
      <c r="Q28" s="34" t="b">
        <f aca="false">IF($B28="","",OR(SUMPRODUCT(--ISNUMBER(SEARCH(EmptyKW,$K28)))&gt;0,LOWER(TRIM($F28))="empty"))</f>
        <v>0</v>
      </c>
      <c r="R28" s="34" t="b">
        <f aca="false">IF($B28="","",OR(ISNUMBER(SEARCH("repair",$G28)),ISNUMBER(SEARCH("not working",$G28))))</f>
        <v>0</v>
      </c>
      <c r="S28" s="32" t="str">
        <f aca="false">IF(AND($B28&lt;&gt;"",$M28=TRUE(),$L28=FALSE(),$Q28=FALSE()),COUNTIFS($M$3:$M28,TRUE(),$L$3:$L28,FALSE(),$Q$3:$Q28,FALSE()),"")</f>
        <v/>
      </c>
      <c r="T28" s="32" t="str">
        <f aca="false">IF($B28="","",IF($Q28=TRUE(),"U1",IF($L28=TRUE(),"S1",IF($M28=TRUE(),"D"&amp;MIN(4,INT(($S28-1)/DisplayCapacity)+1),IF($N28=TRUE(),"K1",IF($O28=TRUE(),"P1",IF($P28=TRUE(),"U1",IF($R28=TRUE(),"U1","W"))))))))</f>
        <v>W</v>
      </c>
      <c r="U28" s="32" t="str">
        <f aca="false">IF($T28="","",$T28&amp;"-"&amp;COUNTIF($T$3:T28,$T28))</f>
        <v>W-14</v>
      </c>
      <c r="V28" s="32" t="str">
        <f aca="false">IF($B28="","",_xlfn.TEXTJOIN(" | ",TRUE(),IF($Q28=TRUE(),"Empty box - no physical device, verify status",""),IF(AND($P28=TRUE(),$L28=FALSE(),$M28=FALSE(),$N28=FALSE(),$O28=FALSE(),$Q28=FALSE()),"Speaker fault only - needs manual box assignment",""),IF(AND($R28=TRUE(),$L28=FALSE(),$M28=FALSE(),$N28=FALSE(),$O28=FALSE(),$P28=FALSE(),$Q28=FALSE()),"No fault detail given - needs technician inspection",""),IF(AND(COUNTIF($F$3:$F$252,$F28)&gt;1,LOWER(TRIM($F28))&lt;&gt;"empty"),"Duplicate Serial No - verify device identity",""),IF((--$L28+--$M28+--$N28+--$O28+--$P28)&gt;1,"Multiple fault types detected - review full details before repair","")))</f>
        <v/>
      </c>
      <c r="W28" s="32" t="n">
        <v>0</v>
      </c>
      <c r="X28" s="32"/>
    </row>
    <row r="29" customFormat="false" ht="15" hidden="false" customHeight="true" outlineLevel="0" collapsed="false">
      <c r="A29" s="26" t="n">
        <v>27</v>
      </c>
      <c r="B29" s="30" t="n">
        <v>46240.5236159259</v>
      </c>
      <c r="C29" s="26" t="s">
        <v>93</v>
      </c>
      <c r="D29" s="26" t="str">
        <f aca="false">IF($B29="","",IFERROR(VLOOKUP(TRIM($C29),ModelMap,2,FALSE()),TRIM($C29)))</f>
        <v>X628-C</v>
      </c>
      <c r="E29" s="26" t="s">
        <v>194</v>
      </c>
      <c r="F29" s="26" t="s">
        <v>195</v>
      </c>
      <c r="G29" s="26" t="s">
        <v>150</v>
      </c>
      <c r="H29" s="26" t="s">
        <v>196</v>
      </c>
      <c r="I29" s="26"/>
      <c r="J29" s="26" t="s">
        <v>133</v>
      </c>
      <c r="K29" s="26" t="str">
        <f aca="false">IF($B29="","",LOWER(TRIM($G29)&amp;" | "&amp;TRIM($H29)&amp;" | "&amp;TRIM($I29)))</f>
        <v>working, have to repair | sensor is not working and also have power issue some times | </v>
      </c>
      <c r="L29" s="31" t="b">
        <f aca="false">IF($B29="","",SUMPRODUCT(--ISNUMBER(SEARCH(SensorKW,$K29)))&gt;0)</f>
        <v>1</v>
      </c>
      <c r="M29" s="31" t="b">
        <f aca="false">IF($B29="","",SUMPRODUCT(--ISNUMBER(SEARCH(DisplayKW,$K29)))&gt;0)</f>
        <v>0</v>
      </c>
      <c r="N29" s="31" t="b">
        <f aca="false">IF($B29="","",SUMPRODUCT(--ISNUMBER(SEARCH(KeypadKW,$K29)))&gt;0)</f>
        <v>0</v>
      </c>
      <c r="O29" s="31" t="b">
        <f aca="false">IF($B29="","",SUMPRODUCT(--ISNUMBER(SEARCH(PowerKW,$K29)))&gt;0)</f>
        <v>1</v>
      </c>
      <c r="P29" s="31" t="b">
        <f aca="false">IF($B29="","",SUMPRODUCT(--ISNUMBER(SEARCH(SpeakerKW,$K29)))&gt;0)</f>
        <v>0</v>
      </c>
      <c r="Q29" s="31" t="b">
        <f aca="false">IF($B29="","",OR(SUMPRODUCT(--ISNUMBER(SEARCH(EmptyKW,$K29)))&gt;0,LOWER(TRIM($F29))="empty"))</f>
        <v>0</v>
      </c>
      <c r="R29" s="31" t="b">
        <f aca="false">IF($B29="","",OR(ISNUMBER(SEARCH("repair",$G29)),ISNUMBER(SEARCH("not working",$G29))))</f>
        <v>1</v>
      </c>
      <c r="S29" s="26" t="str">
        <f aca="false">IF(AND($B29&lt;&gt;"",$M29=TRUE(),$L29=FALSE(),$Q29=FALSE()),COUNTIFS($M$3:$M29,TRUE(),$L$3:$L29,FALSE(),$Q$3:$Q29,FALSE()),"")</f>
        <v/>
      </c>
      <c r="T29" s="26" t="str">
        <f aca="false">IF($B29="","",IF($Q29=TRUE(),"U1",IF($L29=TRUE(),"S1",IF($M29=TRUE(),"D"&amp;MIN(4,INT(($S29-1)/DisplayCapacity)+1),IF($N29=TRUE(),"K1",IF($O29=TRUE(),"P1",IF($P29=TRUE(),"U1",IF($R29=TRUE(),"U1","W"))))))))</f>
        <v>S1</v>
      </c>
      <c r="U29" s="26" t="str">
        <f aca="false">IF($T29="","",$T29&amp;"-"&amp;COUNTIF($T$3:T29,$T29))</f>
        <v>S1-5</v>
      </c>
      <c r="V29" s="26" t="str">
        <f aca="false">IF($B29="","",_xlfn.TEXTJOIN(" | ",TRUE(),IF($Q29=TRUE(),"Empty box - no physical device, verify status",""),IF(AND($P29=TRUE(),$L29=FALSE(),$M29=FALSE(),$N29=FALSE(),$O29=FALSE(),$Q29=FALSE()),"Speaker fault only - needs manual box assignment",""),IF(AND($R29=TRUE(),$L29=FALSE(),$M29=FALSE(),$N29=FALSE(),$O29=FALSE(),$P29=FALSE(),$Q29=FALSE()),"No fault detail given - needs technician inspection",""),IF(AND(COUNTIF($F$3:$F$252,$F29)&gt;1,LOWER(TRIM($F29))&lt;&gt;"empty"),"Duplicate Serial No - verify device identity",""),IF((--$L29+--$M29+--$N29+--$O29+--$P29)&gt;1,"Multiple fault types detected - review full details before repair","")))</f>
        <v>Multiple fault types detected - review full details before repair</v>
      </c>
      <c r="W29" s="26" t="n">
        <v>0</v>
      </c>
      <c r="X29" s="26"/>
    </row>
    <row r="30" customFormat="false" ht="15" hidden="false" customHeight="true" outlineLevel="0" collapsed="false">
      <c r="A30" s="32" t="n">
        <v>28</v>
      </c>
      <c r="B30" s="33" t="n">
        <v>46240.5291707639</v>
      </c>
      <c r="C30" s="32" t="s">
        <v>93</v>
      </c>
      <c r="D30" s="32" t="str">
        <f aca="false">IF($B30="","",IFERROR(VLOOKUP(TRIM($C30),ModelMap,2,FALSE()),TRIM($C30)))</f>
        <v>X628-C</v>
      </c>
      <c r="E30" s="32" t="s">
        <v>197</v>
      </c>
      <c r="F30" s="32" t="s">
        <v>198</v>
      </c>
      <c r="G30" s="32" t="s">
        <v>132</v>
      </c>
      <c r="H30" s="32"/>
      <c r="I30" s="32"/>
      <c r="J30" s="32" t="s">
        <v>133</v>
      </c>
      <c r="K30" s="32" t="str">
        <f aca="false">IF($B30="","",LOWER(TRIM($G30)&amp;" | "&amp;TRIM($H30)&amp;" | "&amp;TRIM($I30)))</f>
        <v>working |  | </v>
      </c>
      <c r="L30" s="34" t="b">
        <f aca="false">IF($B30="","",SUMPRODUCT(--ISNUMBER(SEARCH(SensorKW,$K30)))&gt;0)</f>
        <v>0</v>
      </c>
      <c r="M30" s="34" t="b">
        <f aca="false">IF($B30="","",SUMPRODUCT(--ISNUMBER(SEARCH(DisplayKW,$K30)))&gt;0)</f>
        <v>0</v>
      </c>
      <c r="N30" s="34" t="b">
        <f aca="false">IF($B30="","",SUMPRODUCT(--ISNUMBER(SEARCH(KeypadKW,$K30)))&gt;0)</f>
        <v>0</v>
      </c>
      <c r="O30" s="34" t="b">
        <f aca="false">IF($B30="","",SUMPRODUCT(--ISNUMBER(SEARCH(PowerKW,$K30)))&gt;0)</f>
        <v>0</v>
      </c>
      <c r="P30" s="34" t="b">
        <f aca="false">IF($B30="","",SUMPRODUCT(--ISNUMBER(SEARCH(SpeakerKW,$K30)))&gt;0)</f>
        <v>0</v>
      </c>
      <c r="Q30" s="34" t="b">
        <f aca="false">IF($B30="","",OR(SUMPRODUCT(--ISNUMBER(SEARCH(EmptyKW,$K30)))&gt;0,LOWER(TRIM($F30))="empty"))</f>
        <v>0</v>
      </c>
      <c r="R30" s="34" t="b">
        <f aca="false">IF($B30="","",OR(ISNUMBER(SEARCH("repair",$G30)),ISNUMBER(SEARCH("not working",$G30))))</f>
        <v>0</v>
      </c>
      <c r="S30" s="32" t="str">
        <f aca="false">IF(AND($B30&lt;&gt;"",$M30=TRUE(),$L30=FALSE(),$Q30=FALSE()),COUNTIFS($M$3:$M30,TRUE(),$L$3:$L30,FALSE(),$Q$3:$Q30,FALSE()),"")</f>
        <v/>
      </c>
      <c r="T30" s="32" t="str">
        <f aca="false">IF($B30="","",IF($Q30=TRUE(),"U1",IF($L30=TRUE(),"S1",IF($M30=TRUE(),"D"&amp;MIN(4,INT(($S30-1)/DisplayCapacity)+1),IF($N30=TRUE(),"K1",IF($O30=TRUE(),"P1",IF($P30=TRUE(),"U1",IF($R30=TRUE(),"U1","W"))))))))</f>
        <v>W</v>
      </c>
      <c r="U30" s="32" t="str">
        <f aca="false">IF($T30="","",$T30&amp;"-"&amp;COUNTIF($T$3:T30,$T30))</f>
        <v>W-15</v>
      </c>
      <c r="V30" s="32" t="str">
        <f aca="false">IF($B30="","",_xlfn.TEXTJOIN(" | ",TRUE(),IF($Q30=TRUE(),"Empty box - no physical device, verify status",""),IF(AND($P30=TRUE(),$L30=FALSE(),$M30=FALSE(),$N30=FALSE(),$O30=FALSE(),$Q30=FALSE()),"Speaker fault only - needs manual box assignment",""),IF(AND($R30=TRUE(),$L30=FALSE(),$M30=FALSE(),$N30=FALSE(),$O30=FALSE(),$P30=FALSE(),$Q30=FALSE()),"No fault detail given - needs technician inspection",""),IF(AND(COUNTIF($F$3:$F$252,$F30)&gt;1,LOWER(TRIM($F30))&lt;&gt;"empty"),"Duplicate Serial No - verify device identity",""),IF((--$L30+--$M30+--$N30+--$O30+--$P30)&gt;1,"Multiple fault types detected - review full details before repair","")))</f>
        <v/>
      </c>
      <c r="W30" s="32" t="n">
        <v>0</v>
      </c>
      <c r="X30" s="32"/>
    </row>
    <row r="31" customFormat="false" ht="15" hidden="false" customHeight="true" outlineLevel="0" collapsed="false">
      <c r="A31" s="26" t="n">
        <v>29</v>
      </c>
      <c r="B31" s="30" t="n">
        <v>46240.5303350232</v>
      </c>
      <c r="C31" s="26" t="s">
        <v>90</v>
      </c>
      <c r="D31" s="26" t="str">
        <f aca="false">IF($B31="","",IFERROR(VLOOKUP(TRIM($C31),ModelMap,2,FALSE()),TRIM($C31)))</f>
        <v>X628</v>
      </c>
      <c r="E31" s="26" t="s">
        <v>199</v>
      </c>
      <c r="F31" s="26" t="s">
        <v>200</v>
      </c>
      <c r="G31" s="26" t="s">
        <v>132</v>
      </c>
      <c r="H31" s="26"/>
      <c r="I31" s="26"/>
      <c r="J31" s="26" t="s">
        <v>129</v>
      </c>
      <c r="K31" s="26" t="str">
        <f aca="false">IF($B31="","",LOWER(TRIM($G31)&amp;" | "&amp;TRIM($H31)&amp;" | "&amp;TRIM($I31)))</f>
        <v>working |  | </v>
      </c>
      <c r="L31" s="31" t="b">
        <f aca="false">IF($B31="","",SUMPRODUCT(--ISNUMBER(SEARCH(SensorKW,$K31)))&gt;0)</f>
        <v>0</v>
      </c>
      <c r="M31" s="31" t="b">
        <f aca="false">IF($B31="","",SUMPRODUCT(--ISNUMBER(SEARCH(DisplayKW,$K31)))&gt;0)</f>
        <v>0</v>
      </c>
      <c r="N31" s="31" t="b">
        <f aca="false">IF($B31="","",SUMPRODUCT(--ISNUMBER(SEARCH(KeypadKW,$K31)))&gt;0)</f>
        <v>0</v>
      </c>
      <c r="O31" s="31" t="b">
        <f aca="false">IF($B31="","",SUMPRODUCT(--ISNUMBER(SEARCH(PowerKW,$K31)))&gt;0)</f>
        <v>0</v>
      </c>
      <c r="P31" s="31" t="b">
        <f aca="false">IF($B31="","",SUMPRODUCT(--ISNUMBER(SEARCH(SpeakerKW,$K31)))&gt;0)</f>
        <v>0</v>
      </c>
      <c r="Q31" s="31" t="b">
        <f aca="false">IF($B31="","",OR(SUMPRODUCT(--ISNUMBER(SEARCH(EmptyKW,$K31)))&gt;0,LOWER(TRIM($F31))="empty"))</f>
        <v>0</v>
      </c>
      <c r="R31" s="31" t="b">
        <f aca="false">IF($B31="","",OR(ISNUMBER(SEARCH("repair",$G31)),ISNUMBER(SEARCH("not working",$G31))))</f>
        <v>0</v>
      </c>
      <c r="S31" s="26" t="str">
        <f aca="false">IF(AND($B31&lt;&gt;"",$M31=TRUE(),$L31=FALSE(),$Q31=FALSE()),COUNTIFS($M$3:$M31,TRUE(),$L$3:$L31,FALSE(),$Q$3:$Q31,FALSE()),"")</f>
        <v/>
      </c>
      <c r="T31" s="26" t="str">
        <f aca="false">IF($B31="","",IF($Q31=TRUE(),"U1",IF($L31=TRUE(),"S1",IF($M31=TRUE(),"D"&amp;MIN(4,INT(($S31-1)/DisplayCapacity)+1),IF($N31=TRUE(),"K1",IF($O31=TRUE(),"P1",IF($P31=TRUE(),"U1",IF($R31=TRUE(),"U1","W"))))))))</f>
        <v>W</v>
      </c>
      <c r="U31" s="26" t="str">
        <f aca="false">IF($T31="","",$T31&amp;"-"&amp;COUNTIF($T$3:T31,$T31))</f>
        <v>W-16</v>
      </c>
      <c r="V31" s="26" t="str">
        <f aca="false">IF($B31="","",_xlfn.TEXTJOIN(" | ",TRUE(),IF($Q31=TRUE(),"Empty box - no physical device, verify status",""),IF(AND($P31=TRUE(),$L31=FALSE(),$M31=FALSE(),$N31=FALSE(),$O31=FALSE(),$Q31=FALSE()),"Speaker fault only - needs manual box assignment",""),IF(AND($R31=TRUE(),$L31=FALSE(),$M31=FALSE(),$N31=FALSE(),$O31=FALSE(),$P31=FALSE(),$Q31=FALSE()),"No fault detail given - needs technician inspection",""),IF(AND(COUNTIF($F$3:$F$252,$F31)&gt;1,LOWER(TRIM($F31))&lt;&gt;"empty"),"Duplicate Serial No - verify device identity",""),IF((--$L31+--$M31+--$N31+--$O31+--$P31)&gt;1,"Multiple fault types detected - review full details before repair","")))</f>
        <v/>
      </c>
      <c r="W31" s="26" t="n">
        <v>0</v>
      </c>
      <c r="X31" s="26"/>
    </row>
    <row r="32" customFormat="false" ht="15" hidden="false" customHeight="true" outlineLevel="0" collapsed="false">
      <c r="A32" s="32" t="n">
        <v>30</v>
      </c>
      <c r="B32" s="33" t="n">
        <v>46240.5345571296</v>
      </c>
      <c r="C32" s="32" t="s">
        <v>93</v>
      </c>
      <c r="D32" s="32" t="str">
        <f aca="false">IF($B32="","",IFERROR(VLOOKUP(TRIM($C32),ModelMap,2,FALSE()),TRIM($C32)))</f>
        <v>X628-C</v>
      </c>
      <c r="E32" s="32" t="s">
        <v>201</v>
      </c>
      <c r="F32" s="32" t="s">
        <v>202</v>
      </c>
      <c r="G32" s="32" t="s">
        <v>150</v>
      </c>
      <c r="H32" s="32" t="s">
        <v>203</v>
      </c>
      <c r="I32" s="32"/>
      <c r="J32" s="32" t="s">
        <v>133</v>
      </c>
      <c r="K32" s="32" t="str">
        <f aca="false">IF($B32="","",LOWER(TRIM($G32)&amp;" | "&amp;TRIM($H32)&amp;" | "&amp;TRIM($I32)))</f>
        <v>working, have to repair | no sensor and also have power issue some time device is off automatically | </v>
      </c>
      <c r="L32" s="34" t="b">
        <f aca="false">IF($B32="","",SUMPRODUCT(--ISNUMBER(SEARCH(SensorKW,$K32)))&gt;0)</f>
        <v>1</v>
      </c>
      <c r="M32" s="34" t="b">
        <f aca="false">IF($B32="","",SUMPRODUCT(--ISNUMBER(SEARCH(DisplayKW,$K32)))&gt;0)</f>
        <v>0</v>
      </c>
      <c r="N32" s="34" t="b">
        <f aca="false">IF($B32="","",SUMPRODUCT(--ISNUMBER(SEARCH(KeypadKW,$K32)))&gt;0)</f>
        <v>0</v>
      </c>
      <c r="O32" s="34" t="b">
        <f aca="false">IF($B32="","",SUMPRODUCT(--ISNUMBER(SEARCH(PowerKW,$K32)))&gt;0)</f>
        <v>1</v>
      </c>
      <c r="P32" s="34" t="b">
        <f aca="false">IF($B32="","",SUMPRODUCT(--ISNUMBER(SEARCH(SpeakerKW,$K32)))&gt;0)</f>
        <v>0</v>
      </c>
      <c r="Q32" s="34" t="b">
        <f aca="false">IF($B32="","",OR(SUMPRODUCT(--ISNUMBER(SEARCH(EmptyKW,$K32)))&gt;0,LOWER(TRIM($F32))="empty"))</f>
        <v>0</v>
      </c>
      <c r="R32" s="34" t="b">
        <f aca="false">IF($B32="","",OR(ISNUMBER(SEARCH("repair",$G32)),ISNUMBER(SEARCH("not working",$G32))))</f>
        <v>1</v>
      </c>
      <c r="S32" s="32" t="str">
        <f aca="false">IF(AND($B32&lt;&gt;"",$M32=TRUE(),$L32=FALSE(),$Q32=FALSE()),COUNTIFS($M$3:$M32,TRUE(),$L$3:$L32,FALSE(),$Q$3:$Q32,FALSE()),"")</f>
        <v/>
      </c>
      <c r="T32" s="32" t="str">
        <f aca="false">IF($B32="","",IF($Q32=TRUE(),"U1",IF($L32=TRUE(),"S1",IF($M32=TRUE(),"D"&amp;MIN(4,INT(($S32-1)/DisplayCapacity)+1),IF($N32=TRUE(),"K1",IF($O32=TRUE(),"P1",IF($P32=TRUE(),"U1",IF($R32=TRUE(),"U1","W"))))))))</f>
        <v>S1</v>
      </c>
      <c r="U32" s="32" t="str">
        <f aca="false">IF($T32="","",$T32&amp;"-"&amp;COUNTIF($T$3:T32,$T32))</f>
        <v>S1-6</v>
      </c>
      <c r="V32" s="32" t="str">
        <f aca="false">IF($B32="","",_xlfn.TEXTJOIN(" | ",TRUE(),IF($Q32=TRUE(),"Empty box - no physical device, verify status",""),IF(AND($P32=TRUE(),$L32=FALSE(),$M32=FALSE(),$N32=FALSE(),$O32=FALSE(),$Q32=FALSE()),"Speaker fault only - needs manual box assignment",""),IF(AND($R32=TRUE(),$L32=FALSE(),$M32=FALSE(),$N32=FALSE(),$O32=FALSE(),$P32=FALSE(),$Q32=FALSE()),"No fault detail given - needs technician inspection",""),IF(AND(COUNTIF($F$3:$F$252,$F32)&gt;1,LOWER(TRIM($F32))&lt;&gt;"empty"),"Duplicate Serial No - verify device identity",""),IF((--$L32+--$M32+--$N32+--$O32+--$P32)&gt;1,"Multiple fault types detected - review full details before repair","")))</f>
        <v>Multiple fault types detected - review full details before repair</v>
      </c>
      <c r="W32" s="32" t="n">
        <v>0</v>
      </c>
      <c r="X32" s="32"/>
    </row>
    <row r="33" customFormat="false" ht="15" hidden="false" customHeight="true" outlineLevel="0" collapsed="false">
      <c r="A33" s="26" t="n">
        <v>31</v>
      </c>
      <c r="B33" s="30" t="n">
        <v>46240.5353057292</v>
      </c>
      <c r="C33" s="26" t="s">
        <v>90</v>
      </c>
      <c r="D33" s="26" t="str">
        <f aca="false">IF($B33="","",IFERROR(VLOOKUP(TRIM($C33),ModelMap,2,FALSE()),TRIM($C33)))</f>
        <v>X628</v>
      </c>
      <c r="E33" s="26" t="s">
        <v>204</v>
      </c>
      <c r="F33" s="26" t="s">
        <v>205</v>
      </c>
      <c r="G33" s="26" t="s">
        <v>132</v>
      </c>
      <c r="H33" s="26"/>
      <c r="I33" s="26"/>
      <c r="J33" s="26" t="s">
        <v>129</v>
      </c>
      <c r="K33" s="26" t="str">
        <f aca="false">IF($B33="","",LOWER(TRIM($G33)&amp;" | "&amp;TRIM($H33)&amp;" | "&amp;TRIM($I33)))</f>
        <v>working |  | </v>
      </c>
      <c r="L33" s="31" t="b">
        <f aca="false">IF($B33="","",SUMPRODUCT(--ISNUMBER(SEARCH(SensorKW,$K33)))&gt;0)</f>
        <v>0</v>
      </c>
      <c r="M33" s="31" t="b">
        <f aca="false">IF($B33="","",SUMPRODUCT(--ISNUMBER(SEARCH(DisplayKW,$K33)))&gt;0)</f>
        <v>0</v>
      </c>
      <c r="N33" s="31" t="b">
        <f aca="false">IF($B33="","",SUMPRODUCT(--ISNUMBER(SEARCH(KeypadKW,$K33)))&gt;0)</f>
        <v>0</v>
      </c>
      <c r="O33" s="31" t="b">
        <f aca="false">IF($B33="","",SUMPRODUCT(--ISNUMBER(SEARCH(PowerKW,$K33)))&gt;0)</f>
        <v>0</v>
      </c>
      <c r="P33" s="31" t="b">
        <f aca="false">IF($B33="","",SUMPRODUCT(--ISNUMBER(SEARCH(SpeakerKW,$K33)))&gt;0)</f>
        <v>0</v>
      </c>
      <c r="Q33" s="31" t="b">
        <f aca="false">IF($B33="","",OR(SUMPRODUCT(--ISNUMBER(SEARCH(EmptyKW,$K33)))&gt;0,LOWER(TRIM($F33))="empty"))</f>
        <v>0</v>
      </c>
      <c r="R33" s="31" t="b">
        <f aca="false">IF($B33="","",OR(ISNUMBER(SEARCH("repair",$G33)),ISNUMBER(SEARCH("not working",$G33))))</f>
        <v>0</v>
      </c>
      <c r="S33" s="26" t="str">
        <f aca="false">IF(AND($B33&lt;&gt;"",$M33=TRUE(),$L33=FALSE(),$Q33=FALSE()),COUNTIFS($M$3:$M33,TRUE(),$L$3:$L33,FALSE(),$Q$3:$Q33,FALSE()),"")</f>
        <v/>
      </c>
      <c r="T33" s="26" t="str">
        <f aca="false">IF($B33="","",IF($Q33=TRUE(),"U1",IF($L33=TRUE(),"S1",IF($M33=TRUE(),"D"&amp;MIN(4,INT(($S33-1)/DisplayCapacity)+1),IF($N33=TRUE(),"K1",IF($O33=TRUE(),"P1",IF($P33=TRUE(),"U1",IF($R33=TRUE(),"U1","W"))))))))</f>
        <v>W</v>
      </c>
      <c r="U33" s="26" t="str">
        <f aca="false">IF($T33="","",$T33&amp;"-"&amp;COUNTIF($T$3:T33,$T33))</f>
        <v>W-17</v>
      </c>
      <c r="V33" s="26" t="str">
        <f aca="false">IF($B33="","",_xlfn.TEXTJOIN(" | ",TRUE(),IF($Q33=TRUE(),"Empty box - no physical device, verify status",""),IF(AND($P33=TRUE(),$L33=FALSE(),$M33=FALSE(),$N33=FALSE(),$O33=FALSE(),$Q33=FALSE()),"Speaker fault only - needs manual box assignment",""),IF(AND($R33=TRUE(),$L33=FALSE(),$M33=FALSE(),$N33=FALSE(),$O33=FALSE(),$P33=FALSE(),$Q33=FALSE()),"No fault detail given - needs technician inspection",""),IF(AND(COUNTIF($F$3:$F$252,$F33)&gt;1,LOWER(TRIM($F33))&lt;&gt;"empty"),"Duplicate Serial No - verify device identity",""),IF((--$L33+--$M33+--$N33+--$O33+--$P33)&gt;1,"Multiple fault types detected - review full details before repair","")))</f>
        <v/>
      </c>
      <c r="W33" s="26" t="n">
        <v>0</v>
      </c>
      <c r="X33" s="26"/>
    </row>
    <row r="34" customFormat="false" ht="15" hidden="false" customHeight="true" outlineLevel="0" collapsed="false">
      <c r="A34" s="32" t="n">
        <v>32</v>
      </c>
      <c r="B34" s="33" t="n">
        <v>46240.5398940741</v>
      </c>
      <c r="C34" s="32" t="s">
        <v>93</v>
      </c>
      <c r="D34" s="32" t="str">
        <f aca="false">IF($B34="","",IFERROR(VLOOKUP(TRIM($C34),ModelMap,2,FALSE()),TRIM($C34)))</f>
        <v>X628-C</v>
      </c>
      <c r="E34" s="32" t="s">
        <v>206</v>
      </c>
      <c r="F34" s="32" t="s">
        <v>207</v>
      </c>
      <c r="G34" s="32" t="s">
        <v>150</v>
      </c>
      <c r="H34" s="32" t="s">
        <v>191</v>
      </c>
      <c r="I34" s="32"/>
      <c r="J34" s="32" t="s">
        <v>133</v>
      </c>
      <c r="K34" s="32" t="str">
        <f aca="false">IF($B34="","",LOWER(TRIM($G34)&amp;" | "&amp;TRIM($H34)&amp;" | "&amp;TRIM($I34)))</f>
        <v>working, have to repair | sensor is not working | </v>
      </c>
      <c r="L34" s="34" t="b">
        <f aca="false">IF($B34="","",SUMPRODUCT(--ISNUMBER(SEARCH(SensorKW,$K34)))&gt;0)</f>
        <v>1</v>
      </c>
      <c r="M34" s="34" t="b">
        <f aca="false">IF($B34="","",SUMPRODUCT(--ISNUMBER(SEARCH(DisplayKW,$K34)))&gt;0)</f>
        <v>0</v>
      </c>
      <c r="N34" s="34" t="b">
        <f aca="false">IF($B34="","",SUMPRODUCT(--ISNUMBER(SEARCH(KeypadKW,$K34)))&gt;0)</f>
        <v>0</v>
      </c>
      <c r="O34" s="34" t="b">
        <f aca="false">IF($B34="","",SUMPRODUCT(--ISNUMBER(SEARCH(PowerKW,$K34)))&gt;0)</f>
        <v>0</v>
      </c>
      <c r="P34" s="34" t="b">
        <f aca="false">IF($B34="","",SUMPRODUCT(--ISNUMBER(SEARCH(SpeakerKW,$K34)))&gt;0)</f>
        <v>0</v>
      </c>
      <c r="Q34" s="34" t="b">
        <f aca="false">IF($B34="","",OR(SUMPRODUCT(--ISNUMBER(SEARCH(EmptyKW,$K34)))&gt;0,LOWER(TRIM($F34))="empty"))</f>
        <v>0</v>
      </c>
      <c r="R34" s="34" t="b">
        <f aca="false">IF($B34="","",OR(ISNUMBER(SEARCH("repair",$G34)),ISNUMBER(SEARCH("not working",$G34))))</f>
        <v>1</v>
      </c>
      <c r="S34" s="32" t="str">
        <f aca="false">IF(AND($B34&lt;&gt;"",$M34=TRUE(),$L34=FALSE(),$Q34=FALSE()),COUNTIFS($M$3:$M34,TRUE(),$L$3:$L34,FALSE(),$Q$3:$Q34,FALSE()),"")</f>
        <v/>
      </c>
      <c r="T34" s="32" t="str">
        <f aca="false">IF($B34="","",IF($Q34=TRUE(),"U1",IF($L34=TRUE(),"S1",IF($M34=TRUE(),"D"&amp;MIN(4,INT(($S34-1)/DisplayCapacity)+1),IF($N34=TRUE(),"K1",IF($O34=TRUE(),"P1",IF($P34=TRUE(),"U1",IF($R34=TRUE(),"U1","W"))))))))</f>
        <v>S1</v>
      </c>
      <c r="U34" s="32" t="str">
        <f aca="false">IF($T34="","",$T34&amp;"-"&amp;COUNTIF($T$3:T34,$T34))</f>
        <v>S1-7</v>
      </c>
      <c r="V34" s="32" t="str">
        <f aca="false">IF($B34="","",_xlfn.TEXTJOIN(" | ",TRUE(),IF($Q34=TRUE(),"Empty box - no physical device, verify status",""),IF(AND($P34=TRUE(),$L34=FALSE(),$M34=FALSE(),$N34=FALSE(),$O34=FALSE(),$Q34=FALSE()),"Speaker fault only - needs manual box assignment",""),IF(AND($R34=TRUE(),$L34=FALSE(),$M34=FALSE(),$N34=FALSE(),$O34=FALSE(),$P34=FALSE(),$Q34=FALSE()),"No fault detail given - needs technician inspection",""),IF(AND(COUNTIF($F$3:$F$252,$F34)&gt;1,LOWER(TRIM($F34))&lt;&gt;"empty"),"Duplicate Serial No - verify device identity",""),IF((--$L34+--$M34+--$N34+--$O34+--$P34)&gt;1,"Multiple fault types detected - review full details before repair","")))</f>
        <v/>
      </c>
      <c r="W34" s="32" t="n">
        <v>0</v>
      </c>
      <c r="X34" s="32"/>
    </row>
    <row r="35" customFormat="false" ht="15" hidden="false" customHeight="true" outlineLevel="0" collapsed="false">
      <c r="A35" s="26" t="n">
        <v>33</v>
      </c>
      <c r="B35" s="30" t="n">
        <v>46240.5413544445</v>
      </c>
      <c r="C35" s="26" t="s">
        <v>90</v>
      </c>
      <c r="D35" s="26" t="str">
        <f aca="false">IF($B35="","",IFERROR(VLOOKUP(TRIM($C35),ModelMap,2,FALSE()),TRIM($C35)))</f>
        <v>X628</v>
      </c>
      <c r="E35" s="26" t="s">
        <v>208</v>
      </c>
      <c r="F35" s="26" t="s">
        <v>209</v>
      </c>
      <c r="G35" s="26" t="s">
        <v>132</v>
      </c>
      <c r="H35" s="26"/>
      <c r="I35" s="26"/>
      <c r="J35" s="26" t="s">
        <v>133</v>
      </c>
      <c r="K35" s="26" t="str">
        <f aca="false">IF($B35="","",LOWER(TRIM($G35)&amp;" | "&amp;TRIM($H35)&amp;" | "&amp;TRIM($I35)))</f>
        <v>working |  | </v>
      </c>
      <c r="L35" s="31" t="b">
        <f aca="false">IF($B35="","",SUMPRODUCT(--ISNUMBER(SEARCH(SensorKW,$K35)))&gt;0)</f>
        <v>0</v>
      </c>
      <c r="M35" s="31" t="b">
        <f aca="false">IF($B35="","",SUMPRODUCT(--ISNUMBER(SEARCH(DisplayKW,$K35)))&gt;0)</f>
        <v>0</v>
      </c>
      <c r="N35" s="31" t="b">
        <f aca="false">IF($B35="","",SUMPRODUCT(--ISNUMBER(SEARCH(KeypadKW,$K35)))&gt;0)</f>
        <v>0</v>
      </c>
      <c r="O35" s="31" t="b">
        <f aca="false">IF($B35="","",SUMPRODUCT(--ISNUMBER(SEARCH(PowerKW,$K35)))&gt;0)</f>
        <v>0</v>
      </c>
      <c r="P35" s="31" t="b">
        <f aca="false">IF($B35="","",SUMPRODUCT(--ISNUMBER(SEARCH(SpeakerKW,$K35)))&gt;0)</f>
        <v>0</v>
      </c>
      <c r="Q35" s="31" t="b">
        <f aca="false">IF($B35="","",OR(SUMPRODUCT(--ISNUMBER(SEARCH(EmptyKW,$K35)))&gt;0,LOWER(TRIM($F35))="empty"))</f>
        <v>0</v>
      </c>
      <c r="R35" s="31" t="b">
        <f aca="false">IF($B35="","",OR(ISNUMBER(SEARCH("repair",$G35)),ISNUMBER(SEARCH("not working",$G35))))</f>
        <v>0</v>
      </c>
      <c r="S35" s="26" t="str">
        <f aca="false">IF(AND($B35&lt;&gt;"",$M35=TRUE(),$L35=FALSE(),$Q35=FALSE()),COUNTIFS($M$3:$M35,TRUE(),$L$3:$L35,FALSE(),$Q$3:$Q35,FALSE()),"")</f>
        <v/>
      </c>
      <c r="T35" s="26" t="str">
        <f aca="false">IF($B35="","",IF($Q35=TRUE(),"U1",IF($L35=TRUE(),"S1",IF($M35=TRUE(),"D"&amp;MIN(4,INT(($S35-1)/DisplayCapacity)+1),IF($N35=TRUE(),"K1",IF($O35=TRUE(),"P1",IF($P35=TRUE(),"U1",IF($R35=TRUE(),"U1","W"))))))))</f>
        <v>W</v>
      </c>
      <c r="U35" s="26" t="str">
        <f aca="false">IF($T35="","",$T35&amp;"-"&amp;COUNTIF($T$3:T35,$T35))</f>
        <v>W-18</v>
      </c>
      <c r="V35" s="26" t="str">
        <f aca="false">IF($B35="","",_xlfn.TEXTJOIN(" | ",TRUE(),IF($Q35=TRUE(),"Empty box - no physical device, verify status",""),IF(AND($P35=TRUE(),$L35=FALSE(),$M35=FALSE(),$N35=FALSE(),$O35=FALSE(),$Q35=FALSE()),"Speaker fault only - needs manual box assignment",""),IF(AND($R35=TRUE(),$L35=FALSE(),$M35=FALSE(),$N35=FALSE(),$O35=FALSE(),$P35=FALSE(),$Q35=FALSE()),"No fault detail given - needs technician inspection",""),IF(AND(COUNTIF($F$3:$F$252,$F35)&gt;1,LOWER(TRIM($F35))&lt;&gt;"empty"),"Duplicate Serial No - verify device identity",""),IF((--$L35+--$M35+--$N35+--$O35+--$P35)&gt;1,"Multiple fault types detected - review full details before repair","")))</f>
        <v/>
      </c>
      <c r="W35" s="26" t="n">
        <v>0</v>
      </c>
      <c r="X35" s="26"/>
    </row>
    <row r="36" customFormat="false" ht="15" hidden="false" customHeight="true" outlineLevel="0" collapsed="false">
      <c r="A36" s="32" t="n">
        <v>34</v>
      </c>
      <c r="B36" s="33" t="n">
        <v>46240.5449286921</v>
      </c>
      <c r="C36" s="32" t="s">
        <v>93</v>
      </c>
      <c r="D36" s="32" t="str">
        <f aca="false">IF($B36="","",IFERROR(VLOOKUP(TRIM($C36),ModelMap,2,FALSE()),TRIM($C36)))</f>
        <v>X628-C</v>
      </c>
      <c r="E36" s="32" t="s">
        <v>210</v>
      </c>
      <c r="F36" s="32" t="s">
        <v>211</v>
      </c>
      <c r="G36" s="32" t="s">
        <v>132</v>
      </c>
      <c r="H36" s="32"/>
      <c r="I36" s="32"/>
      <c r="J36" s="32" t="s">
        <v>133</v>
      </c>
      <c r="K36" s="32" t="str">
        <f aca="false">IF($B36="","",LOWER(TRIM($G36)&amp;" | "&amp;TRIM($H36)&amp;" | "&amp;TRIM($I36)))</f>
        <v>working |  | </v>
      </c>
      <c r="L36" s="34" t="b">
        <f aca="false">IF($B36="","",SUMPRODUCT(--ISNUMBER(SEARCH(SensorKW,$K36)))&gt;0)</f>
        <v>0</v>
      </c>
      <c r="M36" s="34" t="b">
        <f aca="false">IF($B36="","",SUMPRODUCT(--ISNUMBER(SEARCH(DisplayKW,$K36)))&gt;0)</f>
        <v>0</v>
      </c>
      <c r="N36" s="34" t="b">
        <f aca="false">IF($B36="","",SUMPRODUCT(--ISNUMBER(SEARCH(KeypadKW,$K36)))&gt;0)</f>
        <v>0</v>
      </c>
      <c r="O36" s="34" t="b">
        <f aca="false">IF($B36="","",SUMPRODUCT(--ISNUMBER(SEARCH(PowerKW,$K36)))&gt;0)</f>
        <v>0</v>
      </c>
      <c r="P36" s="34" t="b">
        <f aca="false">IF($B36="","",SUMPRODUCT(--ISNUMBER(SEARCH(SpeakerKW,$K36)))&gt;0)</f>
        <v>0</v>
      </c>
      <c r="Q36" s="34" t="b">
        <f aca="false">IF($B36="","",OR(SUMPRODUCT(--ISNUMBER(SEARCH(EmptyKW,$K36)))&gt;0,LOWER(TRIM($F36))="empty"))</f>
        <v>0</v>
      </c>
      <c r="R36" s="34" t="b">
        <f aca="false">IF($B36="","",OR(ISNUMBER(SEARCH("repair",$G36)),ISNUMBER(SEARCH("not working",$G36))))</f>
        <v>0</v>
      </c>
      <c r="S36" s="32" t="str">
        <f aca="false">IF(AND($B36&lt;&gt;"",$M36=TRUE(),$L36=FALSE(),$Q36=FALSE()),COUNTIFS($M$3:$M36,TRUE(),$L$3:$L36,FALSE(),$Q$3:$Q36,FALSE()),"")</f>
        <v/>
      </c>
      <c r="T36" s="32" t="str">
        <f aca="false">IF($B36="","",IF($Q36=TRUE(),"U1",IF($L36=TRUE(),"S1",IF($M36=TRUE(),"D"&amp;MIN(4,INT(($S36-1)/DisplayCapacity)+1),IF($N36=TRUE(),"K1",IF($O36=TRUE(),"P1",IF($P36=TRUE(),"U1",IF($R36=TRUE(),"U1","W"))))))))</f>
        <v>W</v>
      </c>
      <c r="U36" s="32" t="str">
        <f aca="false">IF($T36="","",$T36&amp;"-"&amp;COUNTIF($T$3:T36,$T36))</f>
        <v>W-19</v>
      </c>
      <c r="V36" s="32" t="str">
        <f aca="false">IF($B36="","",_xlfn.TEXTJOIN(" | ",TRUE(),IF($Q36=TRUE(),"Empty box - no physical device, verify status",""),IF(AND($P36=TRUE(),$L36=FALSE(),$M36=FALSE(),$N36=FALSE(),$O36=FALSE(),$Q36=FALSE()),"Speaker fault only - needs manual box assignment",""),IF(AND($R36=TRUE(),$L36=FALSE(),$M36=FALSE(),$N36=FALSE(),$O36=FALSE(),$P36=FALSE(),$Q36=FALSE()),"No fault detail given - needs technician inspection",""),IF(AND(COUNTIF($F$3:$F$252,$F36)&gt;1,LOWER(TRIM($F36))&lt;&gt;"empty"),"Duplicate Serial No - verify device identity",""),IF((--$L36+--$M36+--$N36+--$O36+--$P36)&gt;1,"Multiple fault types detected - review full details before repair","")))</f>
        <v/>
      </c>
      <c r="W36" s="32" t="n">
        <v>0</v>
      </c>
      <c r="X36" s="32"/>
    </row>
    <row r="37" customFormat="false" ht="15" hidden="false" customHeight="true" outlineLevel="0" collapsed="false">
      <c r="A37" s="26" t="n">
        <v>35</v>
      </c>
      <c r="B37" s="30" t="n">
        <v>46240.5504467361</v>
      </c>
      <c r="C37" s="26" t="s">
        <v>92</v>
      </c>
      <c r="D37" s="26" t="str">
        <f aca="false">IF($B37="","",IFERROR(VLOOKUP(TRIM($C37),ModelMap,2,FALSE()),TRIM($C37)))</f>
        <v>TX628</v>
      </c>
      <c r="E37" s="26" t="s">
        <v>212</v>
      </c>
      <c r="F37" s="26" t="s">
        <v>213</v>
      </c>
      <c r="G37" s="26" t="s">
        <v>150</v>
      </c>
      <c r="H37" s="26" t="s">
        <v>203</v>
      </c>
      <c r="I37" s="26"/>
      <c r="J37" s="26" t="s">
        <v>133</v>
      </c>
      <c r="K37" s="26" t="str">
        <f aca="false">IF($B37="","",LOWER(TRIM($G37)&amp;" | "&amp;TRIM($H37)&amp;" | "&amp;TRIM($I37)))</f>
        <v>working, have to repair | no sensor and also have power issue some time device is off automatically | </v>
      </c>
      <c r="L37" s="31" t="b">
        <f aca="false">IF($B37="","",SUMPRODUCT(--ISNUMBER(SEARCH(SensorKW,$K37)))&gt;0)</f>
        <v>1</v>
      </c>
      <c r="M37" s="31" t="b">
        <f aca="false">IF($B37="","",SUMPRODUCT(--ISNUMBER(SEARCH(DisplayKW,$K37)))&gt;0)</f>
        <v>0</v>
      </c>
      <c r="N37" s="31" t="b">
        <f aca="false">IF($B37="","",SUMPRODUCT(--ISNUMBER(SEARCH(KeypadKW,$K37)))&gt;0)</f>
        <v>0</v>
      </c>
      <c r="O37" s="31" t="b">
        <f aca="false">IF($B37="","",SUMPRODUCT(--ISNUMBER(SEARCH(PowerKW,$K37)))&gt;0)</f>
        <v>1</v>
      </c>
      <c r="P37" s="31" t="b">
        <f aca="false">IF($B37="","",SUMPRODUCT(--ISNUMBER(SEARCH(SpeakerKW,$K37)))&gt;0)</f>
        <v>0</v>
      </c>
      <c r="Q37" s="31" t="b">
        <f aca="false">IF($B37="","",OR(SUMPRODUCT(--ISNUMBER(SEARCH(EmptyKW,$K37)))&gt;0,LOWER(TRIM($F37))="empty"))</f>
        <v>0</v>
      </c>
      <c r="R37" s="31" t="b">
        <f aca="false">IF($B37="","",OR(ISNUMBER(SEARCH("repair",$G37)),ISNUMBER(SEARCH("not working",$G37))))</f>
        <v>1</v>
      </c>
      <c r="S37" s="26" t="str">
        <f aca="false">IF(AND($B37&lt;&gt;"",$M37=TRUE(),$L37=FALSE(),$Q37=FALSE()),COUNTIFS($M$3:$M37,TRUE(),$L$3:$L37,FALSE(),$Q$3:$Q37,FALSE()),"")</f>
        <v/>
      </c>
      <c r="T37" s="26" t="str">
        <f aca="false">IF($B37="","",IF($Q37=TRUE(),"U1",IF($L37=TRUE(),"S1",IF($M37=TRUE(),"D"&amp;MIN(4,INT(($S37-1)/DisplayCapacity)+1),IF($N37=TRUE(),"K1",IF($O37=TRUE(),"P1",IF($P37=TRUE(),"U1",IF($R37=TRUE(),"U1","W"))))))))</f>
        <v>S1</v>
      </c>
      <c r="U37" s="26" t="str">
        <f aca="false">IF($T37="","",$T37&amp;"-"&amp;COUNTIF($T$3:T37,$T37))</f>
        <v>S1-8</v>
      </c>
      <c r="V37" s="26" t="str">
        <f aca="false">IF($B37="","",_xlfn.TEXTJOIN(" | ",TRUE(),IF($Q37=TRUE(),"Empty box - no physical device, verify status",""),IF(AND($P37=TRUE(),$L37=FALSE(),$M37=FALSE(),$N37=FALSE(),$O37=FALSE(),$Q37=FALSE()),"Speaker fault only - needs manual box assignment",""),IF(AND($R37=TRUE(),$L37=FALSE(),$M37=FALSE(),$N37=FALSE(),$O37=FALSE(),$P37=FALSE(),$Q37=FALSE()),"No fault detail given - needs technician inspection",""),IF(AND(COUNTIF($F$3:$F$252,$F37)&gt;1,LOWER(TRIM($F37))&lt;&gt;"empty"),"Duplicate Serial No - verify device identity",""),IF((--$L37+--$M37+--$N37+--$O37+--$P37)&gt;1,"Multiple fault types detected - review full details before repair","")))</f>
        <v>Multiple fault types detected - review full details before repair</v>
      </c>
      <c r="W37" s="26" t="n">
        <v>0</v>
      </c>
      <c r="X37" s="26"/>
    </row>
    <row r="38" customFormat="false" ht="15" hidden="false" customHeight="true" outlineLevel="0" collapsed="false">
      <c r="A38" s="32" t="n">
        <v>36</v>
      </c>
      <c r="B38" s="33" t="n">
        <v>46240.6197965162</v>
      </c>
      <c r="C38" s="32" t="s">
        <v>92</v>
      </c>
      <c r="D38" s="32" t="str">
        <f aca="false">IF($B38="","",IFERROR(VLOOKUP(TRIM($C38),ModelMap,2,FALSE()),TRIM($C38)))</f>
        <v>TX628</v>
      </c>
      <c r="E38" s="32" t="s">
        <v>214</v>
      </c>
      <c r="F38" s="32" t="s">
        <v>215</v>
      </c>
      <c r="G38" s="32" t="s">
        <v>132</v>
      </c>
      <c r="H38" s="32"/>
      <c r="I38" s="32"/>
      <c r="J38" s="32" t="s">
        <v>133</v>
      </c>
      <c r="K38" s="32" t="str">
        <f aca="false">IF($B38="","",LOWER(TRIM($G38)&amp;" | "&amp;TRIM($H38)&amp;" | "&amp;TRIM($I38)))</f>
        <v>working |  | </v>
      </c>
      <c r="L38" s="34" t="b">
        <f aca="false">IF($B38="","",SUMPRODUCT(--ISNUMBER(SEARCH(SensorKW,$K38)))&gt;0)</f>
        <v>0</v>
      </c>
      <c r="M38" s="34" t="b">
        <f aca="false">IF($B38="","",SUMPRODUCT(--ISNUMBER(SEARCH(DisplayKW,$K38)))&gt;0)</f>
        <v>0</v>
      </c>
      <c r="N38" s="34" t="b">
        <f aca="false">IF($B38="","",SUMPRODUCT(--ISNUMBER(SEARCH(KeypadKW,$K38)))&gt;0)</f>
        <v>0</v>
      </c>
      <c r="O38" s="34" t="b">
        <f aca="false">IF($B38="","",SUMPRODUCT(--ISNUMBER(SEARCH(PowerKW,$K38)))&gt;0)</f>
        <v>0</v>
      </c>
      <c r="P38" s="34" t="b">
        <f aca="false">IF($B38="","",SUMPRODUCT(--ISNUMBER(SEARCH(SpeakerKW,$K38)))&gt;0)</f>
        <v>0</v>
      </c>
      <c r="Q38" s="34" t="b">
        <f aca="false">IF($B38="","",OR(SUMPRODUCT(--ISNUMBER(SEARCH(EmptyKW,$K38)))&gt;0,LOWER(TRIM($F38))="empty"))</f>
        <v>0</v>
      </c>
      <c r="R38" s="34" t="b">
        <f aca="false">IF($B38="","",OR(ISNUMBER(SEARCH("repair",$G38)),ISNUMBER(SEARCH("not working",$G38))))</f>
        <v>0</v>
      </c>
      <c r="S38" s="32" t="str">
        <f aca="false">IF(AND($B38&lt;&gt;"",$M38=TRUE(),$L38=FALSE(),$Q38=FALSE()),COUNTIFS($M$3:$M38,TRUE(),$L$3:$L38,FALSE(),$Q$3:$Q38,FALSE()),"")</f>
        <v/>
      </c>
      <c r="T38" s="32" t="str">
        <f aca="false">IF($B38="","",IF($Q38=TRUE(),"U1",IF($L38=TRUE(),"S1",IF($M38=TRUE(),"D"&amp;MIN(4,INT(($S38-1)/DisplayCapacity)+1),IF($N38=TRUE(),"K1",IF($O38=TRUE(),"P1",IF($P38=TRUE(),"U1",IF($R38=TRUE(),"U1","W"))))))))</f>
        <v>W</v>
      </c>
      <c r="U38" s="32" t="str">
        <f aca="false">IF($T38="","",$T38&amp;"-"&amp;COUNTIF($T$3:T38,$T38))</f>
        <v>W-20</v>
      </c>
      <c r="V38" s="32" t="str">
        <f aca="false">IF($B38="","",_xlfn.TEXTJOIN(" | ",TRUE(),IF($Q38=TRUE(),"Empty box - no physical device, verify status",""),IF(AND($P38=TRUE(),$L38=FALSE(),$M38=FALSE(),$N38=FALSE(),$O38=FALSE(),$Q38=FALSE()),"Speaker fault only - needs manual box assignment",""),IF(AND($R38=TRUE(),$L38=FALSE(),$M38=FALSE(),$N38=FALSE(),$O38=FALSE(),$P38=FALSE(),$Q38=FALSE()),"No fault detail given - needs technician inspection",""),IF(AND(COUNTIF($F$3:$F$252,$F38)&gt;1,LOWER(TRIM($F38))&lt;&gt;"empty"),"Duplicate Serial No - verify device identity",""),IF((--$L38+--$M38+--$N38+--$O38+--$P38)&gt;1,"Multiple fault types detected - review full details before repair","")))</f>
        <v/>
      </c>
      <c r="W38" s="32" t="n">
        <v>0</v>
      </c>
      <c r="X38" s="32"/>
    </row>
    <row r="39" customFormat="false" ht="15" hidden="false" customHeight="true" outlineLevel="0" collapsed="false">
      <c r="A39" s="26" t="n">
        <v>37</v>
      </c>
      <c r="B39" s="30" t="n">
        <v>46240.6257225926</v>
      </c>
      <c r="C39" s="26" t="s">
        <v>97</v>
      </c>
      <c r="D39" s="26" t="str">
        <f aca="false">IF($B39="","",IFERROR(VLOOKUP(TRIM($C39),ModelMap,2,FALSE()),TRIM($C39)))</f>
        <v>iClock700</v>
      </c>
      <c r="E39" s="26" t="s">
        <v>216</v>
      </c>
      <c r="F39" s="26" t="s">
        <v>217</v>
      </c>
      <c r="G39" s="26" t="s">
        <v>132</v>
      </c>
      <c r="H39" s="26"/>
      <c r="I39" s="26"/>
      <c r="J39" s="26" t="s">
        <v>133</v>
      </c>
      <c r="K39" s="26" t="str">
        <f aca="false">IF($B39="","",LOWER(TRIM($G39)&amp;" | "&amp;TRIM($H39)&amp;" | "&amp;TRIM($I39)))</f>
        <v>working |  | </v>
      </c>
      <c r="L39" s="31" t="b">
        <f aca="false">IF($B39="","",SUMPRODUCT(--ISNUMBER(SEARCH(SensorKW,$K39)))&gt;0)</f>
        <v>0</v>
      </c>
      <c r="M39" s="31" t="b">
        <f aca="false">IF($B39="","",SUMPRODUCT(--ISNUMBER(SEARCH(DisplayKW,$K39)))&gt;0)</f>
        <v>0</v>
      </c>
      <c r="N39" s="31" t="b">
        <f aca="false">IF($B39="","",SUMPRODUCT(--ISNUMBER(SEARCH(KeypadKW,$K39)))&gt;0)</f>
        <v>0</v>
      </c>
      <c r="O39" s="31" t="b">
        <f aca="false">IF($B39="","",SUMPRODUCT(--ISNUMBER(SEARCH(PowerKW,$K39)))&gt;0)</f>
        <v>0</v>
      </c>
      <c r="P39" s="31" t="b">
        <f aca="false">IF($B39="","",SUMPRODUCT(--ISNUMBER(SEARCH(SpeakerKW,$K39)))&gt;0)</f>
        <v>0</v>
      </c>
      <c r="Q39" s="31" t="b">
        <f aca="false">IF($B39="","",OR(SUMPRODUCT(--ISNUMBER(SEARCH(EmptyKW,$K39)))&gt;0,LOWER(TRIM($F39))="empty"))</f>
        <v>0</v>
      </c>
      <c r="R39" s="31" t="b">
        <f aca="false">IF($B39="","",OR(ISNUMBER(SEARCH("repair",$G39)),ISNUMBER(SEARCH("not working",$G39))))</f>
        <v>0</v>
      </c>
      <c r="S39" s="26" t="str">
        <f aca="false">IF(AND($B39&lt;&gt;"",$M39=TRUE(),$L39=FALSE(),$Q39=FALSE()),COUNTIFS($M$3:$M39,TRUE(),$L$3:$L39,FALSE(),$Q$3:$Q39,FALSE()),"")</f>
        <v/>
      </c>
      <c r="T39" s="26" t="str">
        <f aca="false">IF($B39="","",IF($Q39=TRUE(),"U1",IF($L39=TRUE(),"S1",IF($M39=TRUE(),"D"&amp;MIN(4,INT(($S39-1)/DisplayCapacity)+1),IF($N39=TRUE(),"K1",IF($O39=TRUE(),"P1",IF($P39=TRUE(),"U1",IF($R39=TRUE(),"U1","W"))))))))</f>
        <v>W</v>
      </c>
      <c r="U39" s="26" t="str">
        <f aca="false">IF($T39="","",$T39&amp;"-"&amp;COUNTIF($T$3:T39,$T39))</f>
        <v>W-21</v>
      </c>
      <c r="V39" s="26" t="str">
        <f aca="false">IF($B39="","",_xlfn.TEXTJOIN(" | ",TRUE(),IF($Q39=TRUE(),"Empty box - no physical device, verify status",""),IF(AND($P39=TRUE(),$L39=FALSE(),$M39=FALSE(),$N39=FALSE(),$O39=FALSE(),$Q39=FALSE()),"Speaker fault only - needs manual box assignment",""),IF(AND($R39=TRUE(),$L39=FALSE(),$M39=FALSE(),$N39=FALSE(),$O39=FALSE(),$P39=FALSE(),$Q39=FALSE()),"No fault detail given - needs technician inspection",""),IF(AND(COUNTIF($F$3:$F$252,$F39)&gt;1,LOWER(TRIM($F39))&lt;&gt;"empty"),"Duplicate Serial No - verify device identity",""),IF((--$L39+--$M39+--$N39+--$O39+--$P39)&gt;1,"Multiple fault types detected - review full details before repair","")))</f>
        <v/>
      </c>
      <c r="W39" s="26" t="n">
        <v>0</v>
      </c>
      <c r="X39" s="26"/>
    </row>
    <row r="40" customFormat="false" ht="15" hidden="false" customHeight="true" outlineLevel="0" collapsed="false">
      <c r="A40" s="32" t="n">
        <v>38</v>
      </c>
      <c r="B40" s="33" t="n">
        <v>46240.6260558681</v>
      </c>
      <c r="C40" s="32" t="s">
        <v>93</v>
      </c>
      <c r="D40" s="32" t="str">
        <f aca="false">IF($B40="","",IFERROR(VLOOKUP(TRIM($C40),ModelMap,2,FALSE()),TRIM($C40)))</f>
        <v>X628-C</v>
      </c>
      <c r="E40" s="32" t="s">
        <v>218</v>
      </c>
      <c r="F40" s="32" t="s">
        <v>219</v>
      </c>
      <c r="G40" s="32" t="s">
        <v>150</v>
      </c>
      <c r="H40" s="32" t="s">
        <v>203</v>
      </c>
      <c r="I40" s="32"/>
      <c r="J40" s="32" t="s">
        <v>133</v>
      </c>
      <c r="K40" s="32" t="str">
        <f aca="false">IF($B40="","",LOWER(TRIM($G40)&amp;" | "&amp;TRIM($H40)&amp;" | "&amp;TRIM($I40)))</f>
        <v>working, have to repair | no sensor and also have power issue some time device is off automatically | </v>
      </c>
      <c r="L40" s="34" t="b">
        <f aca="false">IF($B40="","",SUMPRODUCT(--ISNUMBER(SEARCH(SensorKW,$K40)))&gt;0)</f>
        <v>1</v>
      </c>
      <c r="M40" s="34" t="b">
        <f aca="false">IF($B40="","",SUMPRODUCT(--ISNUMBER(SEARCH(DisplayKW,$K40)))&gt;0)</f>
        <v>0</v>
      </c>
      <c r="N40" s="34" t="b">
        <f aca="false">IF($B40="","",SUMPRODUCT(--ISNUMBER(SEARCH(KeypadKW,$K40)))&gt;0)</f>
        <v>0</v>
      </c>
      <c r="O40" s="34" t="b">
        <f aca="false">IF($B40="","",SUMPRODUCT(--ISNUMBER(SEARCH(PowerKW,$K40)))&gt;0)</f>
        <v>1</v>
      </c>
      <c r="P40" s="34" t="b">
        <f aca="false">IF($B40="","",SUMPRODUCT(--ISNUMBER(SEARCH(SpeakerKW,$K40)))&gt;0)</f>
        <v>0</v>
      </c>
      <c r="Q40" s="34" t="b">
        <f aca="false">IF($B40="","",OR(SUMPRODUCT(--ISNUMBER(SEARCH(EmptyKW,$K40)))&gt;0,LOWER(TRIM($F40))="empty"))</f>
        <v>0</v>
      </c>
      <c r="R40" s="34" t="b">
        <f aca="false">IF($B40="","",OR(ISNUMBER(SEARCH("repair",$G40)),ISNUMBER(SEARCH("not working",$G40))))</f>
        <v>1</v>
      </c>
      <c r="S40" s="32" t="str">
        <f aca="false">IF(AND($B40&lt;&gt;"",$M40=TRUE(),$L40=FALSE(),$Q40=FALSE()),COUNTIFS($M$3:$M40,TRUE(),$L$3:$L40,FALSE(),$Q$3:$Q40,FALSE()),"")</f>
        <v/>
      </c>
      <c r="T40" s="32" t="str">
        <f aca="false">IF($B40="","",IF($Q40=TRUE(),"U1",IF($L40=TRUE(),"S1",IF($M40=TRUE(),"D"&amp;MIN(4,INT(($S40-1)/DisplayCapacity)+1),IF($N40=TRUE(),"K1",IF($O40=TRUE(),"P1",IF($P40=TRUE(),"U1",IF($R40=TRUE(),"U1","W"))))))))</f>
        <v>S1</v>
      </c>
      <c r="U40" s="32" t="str">
        <f aca="false">IF($T40="","",$T40&amp;"-"&amp;COUNTIF($T$3:T40,$T40))</f>
        <v>S1-9</v>
      </c>
      <c r="V40" s="32" t="str">
        <f aca="false">IF($B40="","",_xlfn.TEXTJOIN(" | ",TRUE(),IF($Q40=TRUE(),"Empty box - no physical device, verify status",""),IF(AND($P40=TRUE(),$L40=FALSE(),$M40=FALSE(),$N40=FALSE(),$O40=FALSE(),$Q40=FALSE()),"Speaker fault only - needs manual box assignment",""),IF(AND($R40=TRUE(),$L40=FALSE(),$M40=FALSE(),$N40=FALSE(),$O40=FALSE(),$P40=FALSE(),$Q40=FALSE()),"No fault detail given - needs technician inspection",""),IF(AND(COUNTIF($F$3:$F$252,$F40)&gt;1,LOWER(TRIM($F40))&lt;&gt;"empty"),"Duplicate Serial No - verify device identity",""),IF((--$L40+--$M40+--$N40+--$O40+--$P40)&gt;1,"Multiple fault types detected - review full details before repair","")))</f>
        <v>Multiple fault types detected - review full details before repair</v>
      </c>
      <c r="W40" s="32" t="n">
        <v>0</v>
      </c>
      <c r="X40" s="32"/>
    </row>
    <row r="41" customFormat="false" ht="15" hidden="false" customHeight="true" outlineLevel="0" collapsed="false">
      <c r="A41" s="26" t="n">
        <v>39</v>
      </c>
      <c r="B41" s="30" t="n">
        <v>46240.6466550232</v>
      </c>
      <c r="C41" s="26" t="s">
        <v>92</v>
      </c>
      <c r="D41" s="26" t="str">
        <f aca="false">IF($B41="","",IFERROR(VLOOKUP(TRIM($C41),ModelMap,2,FALSE()),TRIM($C41)))</f>
        <v>TX628</v>
      </c>
      <c r="E41" s="26" t="s">
        <v>220</v>
      </c>
      <c r="F41" s="26" t="s">
        <v>221</v>
      </c>
      <c r="G41" s="26" t="s">
        <v>132</v>
      </c>
      <c r="H41" s="26"/>
      <c r="I41" s="26"/>
      <c r="J41" s="26" t="s">
        <v>133</v>
      </c>
      <c r="K41" s="26" t="str">
        <f aca="false">IF($B41="","",LOWER(TRIM($G41)&amp;" | "&amp;TRIM($H41)&amp;" | "&amp;TRIM($I41)))</f>
        <v>working |  | </v>
      </c>
      <c r="L41" s="31" t="b">
        <f aca="false">IF($B41="","",SUMPRODUCT(--ISNUMBER(SEARCH(SensorKW,$K41)))&gt;0)</f>
        <v>0</v>
      </c>
      <c r="M41" s="31" t="b">
        <f aca="false">IF($B41="","",SUMPRODUCT(--ISNUMBER(SEARCH(DisplayKW,$K41)))&gt;0)</f>
        <v>0</v>
      </c>
      <c r="N41" s="31" t="b">
        <f aca="false">IF($B41="","",SUMPRODUCT(--ISNUMBER(SEARCH(KeypadKW,$K41)))&gt;0)</f>
        <v>0</v>
      </c>
      <c r="O41" s="31" t="b">
        <f aca="false">IF($B41="","",SUMPRODUCT(--ISNUMBER(SEARCH(PowerKW,$K41)))&gt;0)</f>
        <v>0</v>
      </c>
      <c r="P41" s="31" t="b">
        <f aca="false">IF($B41="","",SUMPRODUCT(--ISNUMBER(SEARCH(SpeakerKW,$K41)))&gt;0)</f>
        <v>0</v>
      </c>
      <c r="Q41" s="31" t="b">
        <f aca="false">IF($B41="","",OR(SUMPRODUCT(--ISNUMBER(SEARCH(EmptyKW,$K41)))&gt;0,LOWER(TRIM($F41))="empty"))</f>
        <v>0</v>
      </c>
      <c r="R41" s="31" t="b">
        <f aca="false">IF($B41="","",OR(ISNUMBER(SEARCH("repair",$G41)),ISNUMBER(SEARCH("not working",$G41))))</f>
        <v>0</v>
      </c>
      <c r="S41" s="26" t="str">
        <f aca="false">IF(AND($B41&lt;&gt;"",$M41=TRUE(),$L41=FALSE(),$Q41=FALSE()),COUNTIFS($M$3:$M41,TRUE(),$L$3:$L41,FALSE(),$Q$3:$Q41,FALSE()),"")</f>
        <v/>
      </c>
      <c r="T41" s="26" t="str">
        <f aca="false">IF($B41="","",IF($Q41=TRUE(),"U1",IF($L41=TRUE(),"S1",IF($M41=TRUE(),"D"&amp;MIN(4,INT(($S41-1)/DisplayCapacity)+1),IF($N41=TRUE(),"K1",IF($O41=TRUE(),"P1",IF($P41=TRUE(),"U1",IF($R41=TRUE(),"U1","W"))))))))</f>
        <v>W</v>
      </c>
      <c r="U41" s="26" t="str">
        <f aca="false">IF($T41="","",$T41&amp;"-"&amp;COUNTIF($T$3:T41,$T41))</f>
        <v>W-22</v>
      </c>
      <c r="V41" s="26" t="str">
        <f aca="false">IF($B41="","",_xlfn.TEXTJOIN(" | ",TRUE(),IF($Q41=TRUE(),"Empty box - no physical device, verify status",""),IF(AND($P41=TRUE(),$L41=FALSE(),$M41=FALSE(),$N41=FALSE(),$O41=FALSE(),$Q41=FALSE()),"Speaker fault only - needs manual box assignment",""),IF(AND($R41=TRUE(),$L41=FALSE(),$M41=FALSE(),$N41=FALSE(),$O41=FALSE(),$P41=FALSE(),$Q41=FALSE()),"No fault detail given - needs technician inspection",""),IF(AND(COUNTIF($F$3:$F$252,$F41)&gt;1,LOWER(TRIM($F41))&lt;&gt;"empty"),"Duplicate Serial No - verify device identity",""),IF((--$L41+--$M41+--$N41+--$O41+--$P41)&gt;1,"Multiple fault types detected - review full details before repair","")))</f>
        <v/>
      </c>
      <c r="W41" s="26" t="n">
        <v>0</v>
      </c>
      <c r="X41" s="26"/>
    </row>
    <row r="42" customFormat="false" ht="15" hidden="false" customHeight="true" outlineLevel="0" collapsed="false">
      <c r="A42" s="32" t="n">
        <v>40</v>
      </c>
      <c r="B42" s="33" t="n">
        <v>46240.6528512847</v>
      </c>
      <c r="C42" s="32" t="s">
        <v>92</v>
      </c>
      <c r="D42" s="32" t="str">
        <f aca="false">IF($B42="","",IFERROR(VLOOKUP(TRIM($C42),ModelMap,2,FALSE()),TRIM($C42)))</f>
        <v>TX628</v>
      </c>
      <c r="E42" s="32" t="s">
        <v>222</v>
      </c>
      <c r="F42" s="32" t="s">
        <v>223</v>
      </c>
      <c r="G42" s="32" t="s">
        <v>150</v>
      </c>
      <c r="H42" s="32"/>
      <c r="I42" s="32" t="s">
        <v>224</v>
      </c>
      <c r="J42" s="32" t="s">
        <v>133</v>
      </c>
      <c r="K42" s="32" t="str">
        <f aca="false">IF($B42="","",LOWER(TRIM($G42)&amp;" | "&amp;TRIM($H42)&amp;" | "&amp;TRIM($I42)))</f>
        <v>working, have to repair |  | as soon as it turn it on, it switches off again by itself.</v>
      </c>
      <c r="L42" s="34" t="b">
        <f aca="false">IF($B42="","",SUMPRODUCT(--ISNUMBER(SEARCH(SensorKW,$K42)))&gt;0)</f>
        <v>0</v>
      </c>
      <c r="M42" s="34" t="b">
        <f aca="false">IF($B42="","",SUMPRODUCT(--ISNUMBER(SEARCH(DisplayKW,$K42)))&gt;0)</f>
        <v>0</v>
      </c>
      <c r="N42" s="34" t="b">
        <f aca="false">IF($B42="","",SUMPRODUCT(--ISNUMBER(SEARCH(KeypadKW,$K42)))&gt;0)</f>
        <v>0</v>
      </c>
      <c r="O42" s="34" t="b">
        <f aca="false">IF($B42="","",SUMPRODUCT(--ISNUMBER(SEARCH(PowerKW,$K42)))&gt;0)</f>
        <v>1</v>
      </c>
      <c r="P42" s="34" t="b">
        <f aca="false">IF($B42="","",SUMPRODUCT(--ISNUMBER(SEARCH(SpeakerKW,$K42)))&gt;0)</f>
        <v>0</v>
      </c>
      <c r="Q42" s="34" t="b">
        <f aca="false">IF($B42="","",OR(SUMPRODUCT(--ISNUMBER(SEARCH(EmptyKW,$K42)))&gt;0,LOWER(TRIM($F42))="empty"))</f>
        <v>0</v>
      </c>
      <c r="R42" s="34" t="b">
        <f aca="false">IF($B42="","",OR(ISNUMBER(SEARCH("repair",$G42)),ISNUMBER(SEARCH("not working",$G42))))</f>
        <v>1</v>
      </c>
      <c r="S42" s="32" t="str">
        <f aca="false">IF(AND($B42&lt;&gt;"",$M42=TRUE(),$L42=FALSE(),$Q42=FALSE()),COUNTIFS($M$3:$M42,TRUE(),$L$3:$L42,FALSE(),$Q$3:$Q42,FALSE()),"")</f>
        <v/>
      </c>
      <c r="T42" s="32" t="str">
        <f aca="false">IF($B42="","",IF($Q42=TRUE(),"U1",IF($L42=TRUE(),"S1",IF($M42=TRUE(),"D"&amp;MIN(4,INT(($S42-1)/DisplayCapacity)+1),IF($N42=TRUE(),"K1",IF($O42=TRUE(),"P1",IF($P42=TRUE(),"U1",IF($R42=TRUE(),"U1","W"))))))))</f>
        <v>P1</v>
      </c>
      <c r="U42" s="32" t="str">
        <f aca="false">IF($T42="","",$T42&amp;"-"&amp;COUNTIF($T$3:T42,$T42))</f>
        <v>P1-3</v>
      </c>
      <c r="V42" s="32" t="str">
        <f aca="false">IF($B42="","",_xlfn.TEXTJOIN(" | ",TRUE(),IF($Q42=TRUE(),"Empty box - no physical device, verify status",""),IF(AND($P42=TRUE(),$L42=FALSE(),$M42=FALSE(),$N42=FALSE(),$O42=FALSE(),$Q42=FALSE()),"Speaker fault only - needs manual box assignment",""),IF(AND($R42=TRUE(),$L42=FALSE(),$M42=FALSE(),$N42=FALSE(),$O42=FALSE(),$P42=FALSE(),$Q42=FALSE()),"No fault detail given - needs technician inspection",""),IF(AND(COUNTIF($F$3:$F$252,$F42)&gt;1,LOWER(TRIM($F42))&lt;&gt;"empty"),"Duplicate Serial No - verify device identity",""),IF((--$L42+--$M42+--$N42+--$O42+--$P42)&gt;1,"Multiple fault types detected - review full details before repair","")))</f>
        <v/>
      </c>
      <c r="W42" s="32" t="n">
        <v>0</v>
      </c>
      <c r="X42" s="32"/>
    </row>
    <row r="43" customFormat="false" ht="15" hidden="false" customHeight="true" outlineLevel="0" collapsed="false">
      <c r="A43" s="26" t="n">
        <v>41</v>
      </c>
      <c r="B43" s="30" t="n">
        <v>46240.6549253009</v>
      </c>
      <c r="C43" s="26" t="s">
        <v>90</v>
      </c>
      <c r="D43" s="26" t="str">
        <f aca="false">IF($B43="","",IFERROR(VLOOKUP(TRIM($C43),ModelMap,2,FALSE()),TRIM($C43)))</f>
        <v>X628</v>
      </c>
      <c r="E43" s="26" t="s">
        <v>225</v>
      </c>
      <c r="F43" s="26" t="s">
        <v>226</v>
      </c>
      <c r="G43" s="26" t="s">
        <v>132</v>
      </c>
      <c r="H43" s="26"/>
      <c r="I43" s="26" t="s">
        <v>227</v>
      </c>
      <c r="J43" s="26" t="s">
        <v>129</v>
      </c>
      <c r="K43" s="26" t="str">
        <f aca="false">IF($B43="","",LOWER(TRIM($G43)&amp;" | "&amp;TRIM($H43)&amp;" | "&amp;TRIM($I43)))</f>
        <v>working |  | display is not clear</v>
      </c>
      <c r="L43" s="31" t="b">
        <f aca="false">IF($B43="","",SUMPRODUCT(--ISNUMBER(SEARCH(SensorKW,$K43)))&gt;0)</f>
        <v>0</v>
      </c>
      <c r="M43" s="31" t="b">
        <f aca="false">IF($B43="","",SUMPRODUCT(--ISNUMBER(SEARCH(DisplayKW,$K43)))&gt;0)</f>
        <v>1</v>
      </c>
      <c r="N43" s="31" t="b">
        <f aca="false">IF($B43="","",SUMPRODUCT(--ISNUMBER(SEARCH(KeypadKW,$K43)))&gt;0)</f>
        <v>0</v>
      </c>
      <c r="O43" s="31" t="b">
        <f aca="false">IF($B43="","",SUMPRODUCT(--ISNUMBER(SEARCH(PowerKW,$K43)))&gt;0)</f>
        <v>0</v>
      </c>
      <c r="P43" s="31" t="b">
        <f aca="false">IF($B43="","",SUMPRODUCT(--ISNUMBER(SEARCH(SpeakerKW,$K43)))&gt;0)</f>
        <v>0</v>
      </c>
      <c r="Q43" s="31" t="b">
        <f aca="false">IF($B43="","",OR(SUMPRODUCT(--ISNUMBER(SEARCH(EmptyKW,$K43)))&gt;0,LOWER(TRIM($F43))="empty"))</f>
        <v>0</v>
      </c>
      <c r="R43" s="31" t="b">
        <f aca="false">IF($B43="","",OR(ISNUMBER(SEARCH("repair",$G43)),ISNUMBER(SEARCH("not working",$G43))))</f>
        <v>0</v>
      </c>
      <c r="S43" s="26" t="n">
        <f aca="false">IF(AND($B43&lt;&gt;"",$M43=TRUE(),$L43=FALSE(),$Q43=FALSE()),COUNTIFS($M$3:$M43,TRUE(),$L$3:$L43,FALSE(),$Q$3:$Q43,FALSE()),"")</f>
        <v>4</v>
      </c>
      <c r="T43" s="26" t="str">
        <f aca="false">IF($B43="","",IF($Q43=TRUE(),"U1",IF($L43=TRUE(),"S1",IF($M43=TRUE(),"D"&amp;MIN(4,INT(($S43-1)/DisplayCapacity)+1),IF($N43=TRUE(),"K1",IF($O43=TRUE(),"P1",IF($P43=TRUE(),"U1",IF($R43=TRUE(),"U1","W"))))))))</f>
        <v>D1</v>
      </c>
      <c r="U43" s="26" t="str">
        <f aca="false">IF($T43="","",$T43&amp;"-"&amp;COUNTIF($T$3:T43,$T43))</f>
        <v>D1-4</v>
      </c>
      <c r="V43" s="26" t="str">
        <f aca="false">IF($B43="","",_xlfn.TEXTJOIN(" | ",TRUE(),IF($Q43=TRUE(),"Empty box - no physical device, verify status",""),IF(AND($P43=TRUE(),$L43=FALSE(),$M43=FALSE(),$N43=FALSE(),$O43=FALSE(),$Q43=FALSE()),"Speaker fault only - needs manual box assignment",""),IF(AND($R43=TRUE(),$L43=FALSE(),$M43=FALSE(),$N43=FALSE(),$O43=FALSE(),$P43=FALSE(),$Q43=FALSE()),"No fault detail given - needs technician inspection",""),IF(AND(COUNTIF($F$3:$F$252,$F43)&gt;1,LOWER(TRIM($F43))&lt;&gt;"empty"),"Duplicate Serial No - verify device identity",""),IF((--$L43+--$M43+--$N43+--$O43+--$P43)&gt;1,"Multiple fault types detected - review full details before repair","")))</f>
        <v/>
      </c>
      <c r="W43" s="26" t="n">
        <v>0</v>
      </c>
      <c r="X43" s="26"/>
    </row>
    <row r="44" customFormat="false" ht="15" hidden="false" customHeight="true" outlineLevel="0" collapsed="false">
      <c r="A44" s="32" t="n">
        <v>42</v>
      </c>
      <c r="B44" s="33" t="n">
        <v>46240.6596572454</v>
      </c>
      <c r="C44" s="32" t="s">
        <v>90</v>
      </c>
      <c r="D44" s="32" t="str">
        <f aca="false">IF($B44="","",IFERROR(VLOOKUP(TRIM($C44),ModelMap,2,FALSE()),TRIM($C44)))</f>
        <v>X628</v>
      </c>
      <c r="E44" s="32" t="s">
        <v>228</v>
      </c>
      <c r="F44" s="32" t="s">
        <v>229</v>
      </c>
      <c r="G44" s="32" t="s">
        <v>150</v>
      </c>
      <c r="H44" s="32" t="s">
        <v>230</v>
      </c>
      <c r="I44" s="32"/>
      <c r="J44" s="32" t="s">
        <v>129</v>
      </c>
      <c r="K44" s="32" t="str">
        <f aca="false">IF($B44="","",LOWER(TRIM($G44)&amp;" | "&amp;TRIM($H44)&amp;" | "&amp;TRIM($I44)))</f>
        <v>working, have to repair | sensor is not working | </v>
      </c>
      <c r="L44" s="34" t="b">
        <f aca="false">IF($B44="","",SUMPRODUCT(--ISNUMBER(SEARCH(SensorKW,$K44)))&gt;0)</f>
        <v>1</v>
      </c>
      <c r="M44" s="34" t="b">
        <f aca="false">IF($B44="","",SUMPRODUCT(--ISNUMBER(SEARCH(DisplayKW,$K44)))&gt;0)</f>
        <v>0</v>
      </c>
      <c r="N44" s="34" t="b">
        <f aca="false">IF($B44="","",SUMPRODUCT(--ISNUMBER(SEARCH(KeypadKW,$K44)))&gt;0)</f>
        <v>0</v>
      </c>
      <c r="O44" s="34" t="b">
        <f aca="false">IF($B44="","",SUMPRODUCT(--ISNUMBER(SEARCH(PowerKW,$K44)))&gt;0)</f>
        <v>0</v>
      </c>
      <c r="P44" s="34" t="b">
        <f aca="false">IF($B44="","",SUMPRODUCT(--ISNUMBER(SEARCH(SpeakerKW,$K44)))&gt;0)</f>
        <v>0</v>
      </c>
      <c r="Q44" s="34" t="b">
        <f aca="false">IF($B44="","",OR(SUMPRODUCT(--ISNUMBER(SEARCH(EmptyKW,$K44)))&gt;0,LOWER(TRIM($F44))="empty"))</f>
        <v>0</v>
      </c>
      <c r="R44" s="34" t="b">
        <f aca="false">IF($B44="","",OR(ISNUMBER(SEARCH("repair",$G44)),ISNUMBER(SEARCH("not working",$G44))))</f>
        <v>1</v>
      </c>
      <c r="S44" s="32" t="str">
        <f aca="false">IF(AND($B44&lt;&gt;"",$M44=TRUE(),$L44=FALSE(),$Q44=FALSE()),COUNTIFS($M$3:$M44,TRUE(),$L$3:$L44,FALSE(),$Q$3:$Q44,FALSE()),"")</f>
        <v/>
      </c>
      <c r="T44" s="32" t="str">
        <f aca="false">IF($B44="","",IF($Q44=TRUE(),"U1",IF($L44=TRUE(),"S1",IF($M44=TRUE(),"D"&amp;MIN(4,INT(($S44-1)/DisplayCapacity)+1),IF($N44=TRUE(),"K1",IF($O44=TRUE(),"P1",IF($P44=TRUE(),"U1",IF($R44=TRUE(),"U1","W"))))))))</f>
        <v>S1</v>
      </c>
      <c r="U44" s="32" t="str">
        <f aca="false">IF($T44="","",$T44&amp;"-"&amp;COUNTIF($T$3:T44,$T44))</f>
        <v>S1-10</v>
      </c>
      <c r="V44" s="32" t="str">
        <f aca="false">IF($B44="","",_xlfn.TEXTJOIN(" | ",TRUE(),IF($Q44=TRUE(),"Empty box - no physical device, verify status",""),IF(AND($P44=TRUE(),$L44=FALSE(),$M44=FALSE(),$N44=FALSE(),$O44=FALSE(),$Q44=FALSE()),"Speaker fault only - needs manual box assignment",""),IF(AND($R44=TRUE(),$L44=FALSE(),$M44=FALSE(),$N44=FALSE(),$O44=FALSE(),$P44=FALSE(),$Q44=FALSE()),"No fault detail given - needs technician inspection",""),IF(AND(COUNTIF($F$3:$F$252,$F44)&gt;1,LOWER(TRIM($F44))&lt;&gt;"empty"),"Duplicate Serial No - verify device identity",""),IF((--$L44+--$M44+--$N44+--$O44+--$P44)&gt;1,"Multiple fault types detected - review full details before repair","")))</f>
        <v/>
      </c>
      <c r="W44" s="32" t="n">
        <v>0</v>
      </c>
      <c r="X44" s="32"/>
    </row>
    <row r="45" customFormat="false" ht="15" hidden="false" customHeight="true" outlineLevel="0" collapsed="false">
      <c r="A45" s="26" t="n">
        <v>43</v>
      </c>
      <c r="B45" s="30" t="n">
        <v>46240.6644273148</v>
      </c>
      <c r="C45" s="26" t="s">
        <v>90</v>
      </c>
      <c r="D45" s="26" t="str">
        <f aca="false">IF($B45="","",IFERROR(VLOOKUP(TRIM($C45),ModelMap,2,FALSE()),TRIM($C45)))</f>
        <v>X628</v>
      </c>
      <c r="E45" s="26" t="s">
        <v>231</v>
      </c>
      <c r="F45" s="26" t="s">
        <v>232</v>
      </c>
      <c r="G45" s="26" t="s">
        <v>132</v>
      </c>
      <c r="H45" s="26"/>
      <c r="I45" s="26" t="s">
        <v>164</v>
      </c>
      <c r="J45" s="26" t="s">
        <v>129</v>
      </c>
      <c r="K45" s="26" t="str">
        <f aca="false">IF($B45="","",LOWER(TRIM($G45)&amp;" | "&amp;TRIM($H45)&amp;" | "&amp;TRIM($I45)))</f>
        <v>working |  | display is not clear</v>
      </c>
      <c r="L45" s="31" t="b">
        <f aca="false">IF($B45="","",SUMPRODUCT(--ISNUMBER(SEARCH(SensorKW,$K45)))&gt;0)</f>
        <v>0</v>
      </c>
      <c r="M45" s="31" t="b">
        <f aca="false">IF($B45="","",SUMPRODUCT(--ISNUMBER(SEARCH(DisplayKW,$K45)))&gt;0)</f>
        <v>1</v>
      </c>
      <c r="N45" s="31" t="b">
        <f aca="false">IF($B45="","",SUMPRODUCT(--ISNUMBER(SEARCH(KeypadKW,$K45)))&gt;0)</f>
        <v>0</v>
      </c>
      <c r="O45" s="31" t="b">
        <f aca="false">IF($B45="","",SUMPRODUCT(--ISNUMBER(SEARCH(PowerKW,$K45)))&gt;0)</f>
        <v>0</v>
      </c>
      <c r="P45" s="31" t="b">
        <f aca="false">IF($B45="","",SUMPRODUCT(--ISNUMBER(SEARCH(SpeakerKW,$K45)))&gt;0)</f>
        <v>0</v>
      </c>
      <c r="Q45" s="31" t="b">
        <f aca="false">IF($B45="","",OR(SUMPRODUCT(--ISNUMBER(SEARCH(EmptyKW,$K45)))&gt;0,LOWER(TRIM($F45))="empty"))</f>
        <v>0</v>
      </c>
      <c r="R45" s="31" t="b">
        <f aca="false">IF($B45="","",OR(ISNUMBER(SEARCH("repair",$G45)),ISNUMBER(SEARCH("not working",$G45))))</f>
        <v>0</v>
      </c>
      <c r="S45" s="26" t="n">
        <f aca="false">IF(AND($B45&lt;&gt;"",$M45=TRUE(),$L45=FALSE(),$Q45=FALSE()),COUNTIFS($M$3:$M45,TRUE(),$L$3:$L45,FALSE(),$Q$3:$Q45,FALSE()),"")</f>
        <v>5</v>
      </c>
      <c r="T45" s="26" t="str">
        <f aca="false">IF($B45="","",IF($Q45=TRUE(),"U1",IF($L45=TRUE(),"S1",IF($M45=TRUE(),"D"&amp;MIN(4,INT(($S45-1)/DisplayCapacity)+1),IF($N45=TRUE(),"K1",IF($O45=TRUE(),"P1",IF($P45=TRUE(),"U1",IF($R45=TRUE(),"U1","W"))))))))</f>
        <v>D1</v>
      </c>
      <c r="U45" s="26" t="str">
        <f aca="false">IF($T45="","",$T45&amp;"-"&amp;COUNTIF($T$3:T45,$T45))</f>
        <v>D1-5</v>
      </c>
      <c r="V45" s="26" t="str">
        <f aca="false">IF($B45="","",_xlfn.TEXTJOIN(" | ",TRUE(),IF($Q45=TRUE(),"Empty box - no physical device, verify status",""),IF(AND($P45=TRUE(),$L45=FALSE(),$M45=FALSE(),$N45=FALSE(),$O45=FALSE(),$Q45=FALSE()),"Speaker fault only - needs manual box assignment",""),IF(AND($R45=TRUE(),$L45=FALSE(),$M45=FALSE(),$N45=FALSE(),$O45=FALSE(),$P45=FALSE(),$Q45=FALSE()),"No fault detail given - needs technician inspection",""),IF(AND(COUNTIF($F$3:$F$252,$F45)&gt;1,LOWER(TRIM($F45))&lt;&gt;"empty"),"Duplicate Serial No - verify device identity",""),IF((--$L45+--$M45+--$N45+--$O45+--$P45)&gt;1,"Multiple fault types detected - review full details before repair","")))</f>
        <v/>
      </c>
      <c r="W45" s="26" t="n">
        <v>0</v>
      </c>
      <c r="X45" s="26"/>
    </row>
    <row r="46" customFormat="false" ht="15" hidden="false" customHeight="true" outlineLevel="0" collapsed="false">
      <c r="A46" s="32" t="n">
        <v>44</v>
      </c>
      <c r="B46" s="33" t="n">
        <v>46240.6685656366</v>
      </c>
      <c r="C46" s="32" t="s">
        <v>90</v>
      </c>
      <c r="D46" s="32" t="str">
        <f aca="false">IF($B46="","",IFERROR(VLOOKUP(TRIM($C46),ModelMap,2,FALSE()),TRIM($C46)))</f>
        <v>X628</v>
      </c>
      <c r="E46" s="32" t="s">
        <v>233</v>
      </c>
      <c r="F46" s="32" t="s">
        <v>234</v>
      </c>
      <c r="G46" s="32" t="s">
        <v>132</v>
      </c>
      <c r="H46" s="32"/>
      <c r="I46" s="32"/>
      <c r="J46" s="32" t="s">
        <v>129</v>
      </c>
      <c r="K46" s="32" t="str">
        <f aca="false">IF($B46="","",LOWER(TRIM($G46)&amp;" | "&amp;TRIM($H46)&amp;" | "&amp;TRIM($I46)))</f>
        <v>working |  | </v>
      </c>
      <c r="L46" s="34" t="b">
        <f aca="false">IF($B46="","",SUMPRODUCT(--ISNUMBER(SEARCH(SensorKW,$K46)))&gt;0)</f>
        <v>0</v>
      </c>
      <c r="M46" s="34" t="b">
        <f aca="false">IF($B46="","",SUMPRODUCT(--ISNUMBER(SEARCH(DisplayKW,$K46)))&gt;0)</f>
        <v>0</v>
      </c>
      <c r="N46" s="34" t="b">
        <f aca="false">IF($B46="","",SUMPRODUCT(--ISNUMBER(SEARCH(KeypadKW,$K46)))&gt;0)</f>
        <v>0</v>
      </c>
      <c r="O46" s="34" t="b">
        <f aca="false">IF($B46="","",SUMPRODUCT(--ISNUMBER(SEARCH(PowerKW,$K46)))&gt;0)</f>
        <v>0</v>
      </c>
      <c r="P46" s="34" t="b">
        <f aca="false">IF($B46="","",SUMPRODUCT(--ISNUMBER(SEARCH(SpeakerKW,$K46)))&gt;0)</f>
        <v>0</v>
      </c>
      <c r="Q46" s="34" t="b">
        <f aca="false">IF($B46="","",OR(SUMPRODUCT(--ISNUMBER(SEARCH(EmptyKW,$K46)))&gt;0,LOWER(TRIM($F46))="empty"))</f>
        <v>0</v>
      </c>
      <c r="R46" s="34" t="b">
        <f aca="false">IF($B46="","",OR(ISNUMBER(SEARCH("repair",$G46)),ISNUMBER(SEARCH("not working",$G46))))</f>
        <v>0</v>
      </c>
      <c r="S46" s="32" t="str">
        <f aca="false">IF(AND($B46&lt;&gt;"",$M46=TRUE(),$L46=FALSE(),$Q46=FALSE()),COUNTIFS($M$3:$M46,TRUE(),$L$3:$L46,FALSE(),$Q$3:$Q46,FALSE()),"")</f>
        <v/>
      </c>
      <c r="T46" s="32" t="str">
        <f aca="false">IF($B46="","",IF($Q46=TRUE(),"U1",IF($L46=TRUE(),"S1",IF($M46=TRUE(),"D"&amp;MIN(4,INT(($S46-1)/DisplayCapacity)+1),IF($N46=TRUE(),"K1",IF($O46=TRUE(),"P1",IF($P46=TRUE(),"U1",IF($R46=TRUE(),"U1","W"))))))))</f>
        <v>W</v>
      </c>
      <c r="U46" s="32" t="str">
        <f aca="false">IF($T46="","",$T46&amp;"-"&amp;COUNTIF($T$3:T46,$T46))</f>
        <v>W-23</v>
      </c>
      <c r="V46" s="32" t="str">
        <f aca="false">IF($B46="","",_xlfn.TEXTJOIN(" | ",TRUE(),IF($Q46=TRUE(),"Empty box - no physical device, verify status",""),IF(AND($P46=TRUE(),$L46=FALSE(),$M46=FALSE(),$N46=FALSE(),$O46=FALSE(),$Q46=FALSE()),"Speaker fault only - needs manual box assignment",""),IF(AND($R46=TRUE(),$L46=FALSE(),$M46=FALSE(),$N46=FALSE(),$O46=FALSE(),$P46=FALSE(),$Q46=FALSE()),"No fault detail given - needs technician inspection",""),IF(AND(COUNTIF($F$3:$F$252,$F46)&gt;1,LOWER(TRIM($F46))&lt;&gt;"empty"),"Duplicate Serial No - verify device identity",""),IF((--$L46+--$M46+--$N46+--$O46+--$P46)&gt;1,"Multiple fault types detected - review full details before repair","")))</f>
        <v/>
      </c>
      <c r="W46" s="32" t="n">
        <v>0</v>
      </c>
      <c r="X46" s="32"/>
    </row>
    <row r="47" customFormat="false" ht="15" hidden="false" customHeight="true" outlineLevel="0" collapsed="false">
      <c r="A47" s="26" t="n">
        <v>45</v>
      </c>
      <c r="B47" s="30" t="n">
        <v>46240.6690119445</v>
      </c>
      <c r="C47" s="26" t="s">
        <v>93</v>
      </c>
      <c r="D47" s="26" t="str">
        <f aca="false">IF($B47="","",IFERROR(VLOOKUP(TRIM($C47),ModelMap,2,FALSE()),TRIM($C47)))</f>
        <v>X628-C</v>
      </c>
      <c r="E47" s="26" t="s">
        <v>235</v>
      </c>
      <c r="F47" s="26" t="s">
        <v>236</v>
      </c>
      <c r="G47" s="26" t="s">
        <v>150</v>
      </c>
      <c r="H47" s="26" t="s">
        <v>184</v>
      </c>
      <c r="I47" s="26"/>
      <c r="J47" s="26" t="s">
        <v>133</v>
      </c>
      <c r="K47" s="26" t="str">
        <f aca="false">IF($B47="","",LOWER(TRIM($G47)&amp;" | "&amp;TRIM($H47)&amp;" | "&amp;TRIM($I47)))</f>
        <v>working, have to repair | no sensor | </v>
      </c>
      <c r="L47" s="31" t="b">
        <f aca="false">IF($B47="","",SUMPRODUCT(--ISNUMBER(SEARCH(SensorKW,$K47)))&gt;0)</f>
        <v>1</v>
      </c>
      <c r="M47" s="31" t="b">
        <f aca="false">IF($B47="","",SUMPRODUCT(--ISNUMBER(SEARCH(DisplayKW,$K47)))&gt;0)</f>
        <v>0</v>
      </c>
      <c r="N47" s="31" t="b">
        <f aca="false">IF($B47="","",SUMPRODUCT(--ISNUMBER(SEARCH(KeypadKW,$K47)))&gt;0)</f>
        <v>0</v>
      </c>
      <c r="O47" s="31" t="b">
        <f aca="false">IF($B47="","",SUMPRODUCT(--ISNUMBER(SEARCH(PowerKW,$K47)))&gt;0)</f>
        <v>0</v>
      </c>
      <c r="P47" s="31" t="b">
        <f aca="false">IF($B47="","",SUMPRODUCT(--ISNUMBER(SEARCH(SpeakerKW,$K47)))&gt;0)</f>
        <v>0</v>
      </c>
      <c r="Q47" s="31" t="b">
        <f aca="false">IF($B47="","",OR(SUMPRODUCT(--ISNUMBER(SEARCH(EmptyKW,$K47)))&gt;0,LOWER(TRIM($F47))="empty"))</f>
        <v>0</v>
      </c>
      <c r="R47" s="31" t="b">
        <f aca="false">IF($B47="","",OR(ISNUMBER(SEARCH("repair",$G47)),ISNUMBER(SEARCH("not working",$G47))))</f>
        <v>1</v>
      </c>
      <c r="S47" s="26" t="str">
        <f aca="false">IF(AND($B47&lt;&gt;"",$M47=TRUE(),$L47=FALSE(),$Q47=FALSE()),COUNTIFS($M$3:$M47,TRUE(),$L$3:$L47,FALSE(),$Q$3:$Q47,FALSE()),"")</f>
        <v/>
      </c>
      <c r="T47" s="26" t="str">
        <f aca="false">IF($B47="","",IF($Q47=TRUE(),"U1",IF($L47=TRUE(),"S1",IF($M47=TRUE(),"D"&amp;MIN(4,INT(($S47-1)/DisplayCapacity)+1),IF($N47=TRUE(),"K1",IF($O47=TRUE(),"P1",IF($P47=TRUE(),"U1",IF($R47=TRUE(),"U1","W"))))))))</f>
        <v>S1</v>
      </c>
      <c r="U47" s="26" t="str">
        <f aca="false">IF($T47="","",$T47&amp;"-"&amp;COUNTIF($T$3:T47,$T47))</f>
        <v>S1-11</v>
      </c>
      <c r="V47" s="26" t="str">
        <f aca="false">IF($B47="","",_xlfn.TEXTJOIN(" | ",TRUE(),IF($Q47=TRUE(),"Empty box - no physical device, verify status",""),IF(AND($P47=TRUE(),$L47=FALSE(),$M47=FALSE(),$N47=FALSE(),$O47=FALSE(),$Q47=FALSE()),"Speaker fault only - needs manual box assignment",""),IF(AND($R47=TRUE(),$L47=FALSE(),$M47=FALSE(),$N47=FALSE(),$O47=FALSE(),$P47=FALSE(),$Q47=FALSE()),"No fault detail given - needs technician inspection",""),IF(AND(COUNTIF($F$3:$F$252,$F47)&gt;1,LOWER(TRIM($F47))&lt;&gt;"empty"),"Duplicate Serial No - verify device identity",""),IF((--$L47+--$M47+--$N47+--$O47+--$P47)&gt;1,"Multiple fault types detected - review full details before repair","")))</f>
        <v/>
      </c>
      <c r="W47" s="26" t="n">
        <v>0</v>
      </c>
      <c r="X47" s="26"/>
    </row>
    <row r="48" customFormat="false" ht="15" hidden="false" customHeight="true" outlineLevel="0" collapsed="false">
      <c r="A48" s="32" t="n">
        <v>46</v>
      </c>
      <c r="B48" s="33" t="n">
        <v>46240.6711769329</v>
      </c>
      <c r="C48" s="32" t="s">
        <v>92</v>
      </c>
      <c r="D48" s="32" t="str">
        <f aca="false">IF($B48="","",IFERROR(VLOOKUP(TRIM($C48),ModelMap,2,FALSE()),TRIM($C48)))</f>
        <v>TX628</v>
      </c>
      <c r="E48" s="32" t="s">
        <v>237</v>
      </c>
      <c r="F48" s="32" t="s">
        <v>238</v>
      </c>
      <c r="G48" s="32" t="s">
        <v>132</v>
      </c>
      <c r="H48" s="32"/>
      <c r="I48" s="32"/>
      <c r="J48" s="32" t="s">
        <v>133</v>
      </c>
      <c r="K48" s="32" t="str">
        <f aca="false">IF($B48="","",LOWER(TRIM($G48)&amp;" | "&amp;TRIM($H48)&amp;" | "&amp;TRIM($I48)))</f>
        <v>working |  | </v>
      </c>
      <c r="L48" s="34" t="b">
        <f aca="false">IF($B48="","",SUMPRODUCT(--ISNUMBER(SEARCH(SensorKW,$K48)))&gt;0)</f>
        <v>0</v>
      </c>
      <c r="M48" s="34" t="b">
        <f aca="false">IF($B48="","",SUMPRODUCT(--ISNUMBER(SEARCH(DisplayKW,$K48)))&gt;0)</f>
        <v>0</v>
      </c>
      <c r="N48" s="34" t="b">
        <f aca="false">IF($B48="","",SUMPRODUCT(--ISNUMBER(SEARCH(KeypadKW,$K48)))&gt;0)</f>
        <v>0</v>
      </c>
      <c r="O48" s="34" t="b">
        <f aca="false">IF($B48="","",SUMPRODUCT(--ISNUMBER(SEARCH(PowerKW,$K48)))&gt;0)</f>
        <v>0</v>
      </c>
      <c r="P48" s="34" t="b">
        <f aca="false">IF($B48="","",SUMPRODUCT(--ISNUMBER(SEARCH(SpeakerKW,$K48)))&gt;0)</f>
        <v>0</v>
      </c>
      <c r="Q48" s="34" t="b">
        <f aca="false">IF($B48="","",OR(SUMPRODUCT(--ISNUMBER(SEARCH(EmptyKW,$K48)))&gt;0,LOWER(TRIM($F48))="empty"))</f>
        <v>0</v>
      </c>
      <c r="R48" s="34" t="b">
        <f aca="false">IF($B48="","",OR(ISNUMBER(SEARCH("repair",$G48)),ISNUMBER(SEARCH("not working",$G48))))</f>
        <v>0</v>
      </c>
      <c r="S48" s="32" t="str">
        <f aca="false">IF(AND($B48&lt;&gt;"",$M48=TRUE(),$L48=FALSE(),$Q48=FALSE()),COUNTIFS($M$3:$M48,TRUE(),$L$3:$L48,FALSE(),$Q$3:$Q48,FALSE()),"")</f>
        <v/>
      </c>
      <c r="T48" s="32" t="str">
        <f aca="false">IF($B48="","",IF($Q48=TRUE(),"U1",IF($L48=TRUE(),"S1",IF($M48=TRUE(),"D"&amp;MIN(4,INT(($S48-1)/DisplayCapacity)+1),IF($N48=TRUE(),"K1",IF($O48=TRUE(),"P1",IF($P48=TRUE(),"U1",IF($R48=TRUE(),"U1","W"))))))))</f>
        <v>W</v>
      </c>
      <c r="U48" s="32" t="str">
        <f aca="false">IF($T48="","",$T48&amp;"-"&amp;COUNTIF($T$3:T48,$T48))</f>
        <v>W-24</v>
      </c>
      <c r="V48" s="32" t="str">
        <f aca="false">IF($B48="","",_xlfn.TEXTJOIN(" | ",TRUE(),IF($Q48=TRUE(),"Empty box - no physical device, verify status",""),IF(AND($P48=TRUE(),$L48=FALSE(),$M48=FALSE(),$N48=FALSE(),$O48=FALSE(),$Q48=FALSE()),"Speaker fault only - needs manual box assignment",""),IF(AND($R48=TRUE(),$L48=FALSE(),$M48=FALSE(),$N48=FALSE(),$O48=FALSE(),$P48=FALSE(),$Q48=FALSE()),"No fault detail given - needs technician inspection",""),IF(AND(COUNTIF($F$3:$F$252,$F48)&gt;1,LOWER(TRIM($F48))&lt;&gt;"empty"),"Duplicate Serial No - verify device identity",""),IF((--$L48+--$M48+--$N48+--$O48+--$P48)&gt;1,"Multiple fault types detected - review full details before repair","")))</f>
        <v/>
      </c>
      <c r="W48" s="32" t="n">
        <v>0</v>
      </c>
      <c r="X48" s="32"/>
    </row>
    <row r="49" customFormat="false" ht="15" hidden="false" customHeight="true" outlineLevel="0" collapsed="false">
      <c r="A49" s="26" t="n">
        <v>47</v>
      </c>
      <c r="B49" s="30" t="n">
        <v>46240.6737284144</v>
      </c>
      <c r="C49" s="26" t="s">
        <v>90</v>
      </c>
      <c r="D49" s="26" t="str">
        <f aca="false">IF($B49="","",IFERROR(VLOOKUP(TRIM($C49),ModelMap,2,FALSE()),TRIM($C49)))</f>
        <v>X628</v>
      </c>
      <c r="E49" s="26" t="s">
        <v>239</v>
      </c>
      <c r="F49" s="26" t="s">
        <v>240</v>
      </c>
      <c r="G49" s="26" t="s">
        <v>132</v>
      </c>
      <c r="H49" s="26"/>
      <c r="I49" s="26"/>
      <c r="J49" s="26" t="s">
        <v>129</v>
      </c>
      <c r="K49" s="26" t="str">
        <f aca="false">IF($B49="","",LOWER(TRIM($G49)&amp;" | "&amp;TRIM($H49)&amp;" | "&amp;TRIM($I49)))</f>
        <v>working |  | </v>
      </c>
      <c r="L49" s="31" t="b">
        <f aca="false">IF($B49="","",SUMPRODUCT(--ISNUMBER(SEARCH(SensorKW,$K49)))&gt;0)</f>
        <v>0</v>
      </c>
      <c r="M49" s="31" t="b">
        <f aca="false">IF($B49="","",SUMPRODUCT(--ISNUMBER(SEARCH(DisplayKW,$K49)))&gt;0)</f>
        <v>0</v>
      </c>
      <c r="N49" s="31" t="b">
        <f aca="false">IF($B49="","",SUMPRODUCT(--ISNUMBER(SEARCH(KeypadKW,$K49)))&gt;0)</f>
        <v>0</v>
      </c>
      <c r="O49" s="31" t="b">
        <f aca="false">IF($B49="","",SUMPRODUCT(--ISNUMBER(SEARCH(PowerKW,$K49)))&gt;0)</f>
        <v>0</v>
      </c>
      <c r="P49" s="31" t="b">
        <f aca="false">IF($B49="","",SUMPRODUCT(--ISNUMBER(SEARCH(SpeakerKW,$K49)))&gt;0)</f>
        <v>0</v>
      </c>
      <c r="Q49" s="31" t="b">
        <f aca="false">IF($B49="","",OR(SUMPRODUCT(--ISNUMBER(SEARCH(EmptyKW,$K49)))&gt;0,LOWER(TRIM($F49))="empty"))</f>
        <v>0</v>
      </c>
      <c r="R49" s="31" t="b">
        <f aca="false">IF($B49="","",OR(ISNUMBER(SEARCH("repair",$G49)),ISNUMBER(SEARCH("not working",$G49))))</f>
        <v>0</v>
      </c>
      <c r="S49" s="26" t="str">
        <f aca="false">IF(AND($B49&lt;&gt;"",$M49=TRUE(),$L49=FALSE(),$Q49=FALSE()),COUNTIFS($M$3:$M49,TRUE(),$L$3:$L49,FALSE(),$Q$3:$Q49,FALSE()),"")</f>
        <v/>
      </c>
      <c r="T49" s="26" t="str">
        <f aca="false">IF($B49="","",IF($Q49=TRUE(),"U1",IF($L49=TRUE(),"S1",IF($M49=TRUE(),"D"&amp;MIN(4,INT(($S49-1)/DisplayCapacity)+1),IF($N49=TRUE(),"K1",IF($O49=TRUE(),"P1",IF($P49=TRUE(),"U1",IF($R49=TRUE(),"U1","W"))))))))</f>
        <v>W</v>
      </c>
      <c r="U49" s="26" t="str">
        <f aca="false">IF($T49="","",$T49&amp;"-"&amp;COUNTIF($T$3:T49,$T49))</f>
        <v>W-25</v>
      </c>
      <c r="V49" s="26" t="str">
        <f aca="false">IF($B49="","",_xlfn.TEXTJOIN(" | ",TRUE(),IF($Q49=TRUE(),"Empty box - no physical device, verify status",""),IF(AND($P49=TRUE(),$L49=FALSE(),$M49=FALSE(),$N49=FALSE(),$O49=FALSE(),$Q49=FALSE()),"Speaker fault only - needs manual box assignment",""),IF(AND($R49=TRUE(),$L49=FALSE(),$M49=FALSE(),$N49=FALSE(),$O49=FALSE(),$P49=FALSE(),$Q49=FALSE()),"No fault detail given - needs technician inspection",""),IF(AND(COUNTIF($F$3:$F$252,$F49)&gt;1,LOWER(TRIM($F49))&lt;&gt;"empty"),"Duplicate Serial No - verify device identity",""),IF((--$L49+--$M49+--$N49+--$O49+--$P49)&gt;1,"Multiple fault types detected - review full details before repair","")))</f>
        <v/>
      </c>
      <c r="W49" s="26" t="n">
        <v>0</v>
      </c>
      <c r="X49" s="26"/>
    </row>
    <row r="50" customFormat="false" ht="15" hidden="false" customHeight="true" outlineLevel="0" collapsed="false">
      <c r="A50" s="32" t="n">
        <v>48</v>
      </c>
      <c r="B50" s="33" t="n">
        <v>46240.6759405208</v>
      </c>
      <c r="C50" s="32" t="s">
        <v>92</v>
      </c>
      <c r="D50" s="32" t="str">
        <f aca="false">IF($B50="","",IFERROR(VLOOKUP(TRIM($C50),ModelMap,2,FALSE()),TRIM($C50)))</f>
        <v>TX628</v>
      </c>
      <c r="E50" s="32" t="s">
        <v>241</v>
      </c>
      <c r="F50" s="32" t="s">
        <v>242</v>
      </c>
      <c r="G50" s="32" t="s">
        <v>132</v>
      </c>
      <c r="H50" s="32"/>
      <c r="I50" s="32"/>
      <c r="J50" s="32" t="s">
        <v>133</v>
      </c>
      <c r="K50" s="32" t="str">
        <f aca="false">IF($B50="","",LOWER(TRIM($G50)&amp;" | "&amp;TRIM($H50)&amp;" | "&amp;TRIM($I50)))</f>
        <v>working |  | </v>
      </c>
      <c r="L50" s="34" t="b">
        <f aca="false">IF($B50="","",SUMPRODUCT(--ISNUMBER(SEARCH(SensorKW,$K50)))&gt;0)</f>
        <v>0</v>
      </c>
      <c r="M50" s="34" t="b">
        <f aca="false">IF($B50="","",SUMPRODUCT(--ISNUMBER(SEARCH(DisplayKW,$K50)))&gt;0)</f>
        <v>0</v>
      </c>
      <c r="N50" s="34" t="b">
        <f aca="false">IF($B50="","",SUMPRODUCT(--ISNUMBER(SEARCH(KeypadKW,$K50)))&gt;0)</f>
        <v>0</v>
      </c>
      <c r="O50" s="34" t="b">
        <f aca="false">IF($B50="","",SUMPRODUCT(--ISNUMBER(SEARCH(PowerKW,$K50)))&gt;0)</f>
        <v>0</v>
      </c>
      <c r="P50" s="34" t="b">
        <f aca="false">IF($B50="","",SUMPRODUCT(--ISNUMBER(SEARCH(SpeakerKW,$K50)))&gt;0)</f>
        <v>0</v>
      </c>
      <c r="Q50" s="34" t="b">
        <f aca="false">IF($B50="","",OR(SUMPRODUCT(--ISNUMBER(SEARCH(EmptyKW,$K50)))&gt;0,LOWER(TRIM($F50))="empty"))</f>
        <v>0</v>
      </c>
      <c r="R50" s="34" t="b">
        <f aca="false">IF($B50="","",OR(ISNUMBER(SEARCH("repair",$G50)),ISNUMBER(SEARCH("not working",$G50))))</f>
        <v>0</v>
      </c>
      <c r="S50" s="32" t="str">
        <f aca="false">IF(AND($B50&lt;&gt;"",$M50=TRUE(),$L50=FALSE(),$Q50=FALSE()),COUNTIFS($M$3:$M50,TRUE(),$L$3:$L50,FALSE(),$Q$3:$Q50,FALSE()),"")</f>
        <v/>
      </c>
      <c r="T50" s="32" t="str">
        <f aca="false">IF($B50="","",IF($Q50=TRUE(),"U1",IF($L50=TRUE(),"S1",IF($M50=TRUE(),"D"&amp;MIN(4,INT(($S50-1)/DisplayCapacity)+1),IF($N50=TRUE(),"K1",IF($O50=TRUE(),"P1",IF($P50=TRUE(),"U1",IF($R50=TRUE(),"U1","W"))))))))</f>
        <v>W</v>
      </c>
      <c r="U50" s="32" t="str">
        <f aca="false">IF($T50="","",$T50&amp;"-"&amp;COUNTIF($T$3:T50,$T50))</f>
        <v>W-26</v>
      </c>
      <c r="V50" s="32" t="str">
        <f aca="false">IF($B50="","",_xlfn.TEXTJOIN(" | ",TRUE(),IF($Q50=TRUE(),"Empty box - no physical device, verify status",""),IF(AND($P50=TRUE(),$L50=FALSE(),$M50=FALSE(),$N50=FALSE(),$O50=FALSE(),$Q50=FALSE()),"Speaker fault only - needs manual box assignment",""),IF(AND($R50=TRUE(),$L50=FALSE(),$M50=FALSE(),$N50=FALSE(),$O50=FALSE(),$P50=FALSE(),$Q50=FALSE()),"No fault detail given - needs technician inspection",""),IF(AND(COUNTIF($F$3:$F$252,$F50)&gt;1,LOWER(TRIM($F50))&lt;&gt;"empty"),"Duplicate Serial No - verify device identity",""),IF((--$L50+--$M50+--$N50+--$O50+--$P50)&gt;1,"Multiple fault types detected - review full details before repair","")))</f>
        <v/>
      </c>
      <c r="W50" s="32" t="n">
        <v>0</v>
      </c>
      <c r="X50" s="32"/>
    </row>
    <row r="51" customFormat="false" ht="15" hidden="false" customHeight="true" outlineLevel="0" collapsed="false">
      <c r="A51" s="26" t="n">
        <v>49</v>
      </c>
      <c r="B51" s="30" t="n">
        <v>46240.6797391435</v>
      </c>
      <c r="C51" s="26" t="s">
        <v>98</v>
      </c>
      <c r="D51" s="26" t="str">
        <f aca="false">IF($B51="","",IFERROR(VLOOKUP(TRIM($C51),ModelMap,2,FALSE()),TRIM($C51)))</f>
        <v>SlikFP 100TA</v>
      </c>
      <c r="E51" s="26" t="s">
        <v>243</v>
      </c>
      <c r="F51" s="26" t="s">
        <v>244</v>
      </c>
      <c r="G51" s="26" t="s">
        <v>132</v>
      </c>
      <c r="H51" s="26"/>
      <c r="I51" s="26"/>
      <c r="J51" s="26" t="s">
        <v>133</v>
      </c>
      <c r="K51" s="26" t="str">
        <f aca="false">IF($B51="","",LOWER(TRIM($G51)&amp;" | "&amp;TRIM($H51)&amp;" | "&amp;TRIM($I51)))</f>
        <v>working |  | </v>
      </c>
      <c r="L51" s="31" t="b">
        <f aca="false">IF($B51="","",SUMPRODUCT(--ISNUMBER(SEARCH(SensorKW,$K51)))&gt;0)</f>
        <v>0</v>
      </c>
      <c r="M51" s="31" t="b">
        <f aca="false">IF($B51="","",SUMPRODUCT(--ISNUMBER(SEARCH(DisplayKW,$K51)))&gt;0)</f>
        <v>0</v>
      </c>
      <c r="N51" s="31" t="b">
        <f aca="false">IF($B51="","",SUMPRODUCT(--ISNUMBER(SEARCH(KeypadKW,$K51)))&gt;0)</f>
        <v>0</v>
      </c>
      <c r="O51" s="31" t="b">
        <f aca="false">IF($B51="","",SUMPRODUCT(--ISNUMBER(SEARCH(PowerKW,$K51)))&gt;0)</f>
        <v>0</v>
      </c>
      <c r="P51" s="31" t="b">
        <f aca="false">IF($B51="","",SUMPRODUCT(--ISNUMBER(SEARCH(SpeakerKW,$K51)))&gt;0)</f>
        <v>0</v>
      </c>
      <c r="Q51" s="31" t="b">
        <f aca="false">IF($B51="","",OR(SUMPRODUCT(--ISNUMBER(SEARCH(EmptyKW,$K51)))&gt;0,LOWER(TRIM($F51))="empty"))</f>
        <v>0</v>
      </c>
      <c r="R51" s="31" t="b">
        <f aca="false">IF($B51="","",OR(ISNUMBER(SEARCH("repair",$G51)),ISNUMBER(SEARCH("not working",$G51))))</f>
        <v>0</v>
      </c>
      <c r="S51" s="26" t="str">
        <f aca="false">IF(AND($B51&lt;&gt;"",$M51=TRUE(),$L51=FALSE(),$Q51=FALSE()),COUNTIFS($M$3:$M51,TRUE(),$L$3:$L51,FALSE(),$Q$3:$Q51,FALSE()),"")</f>
        <v/>
      </c>
      <c r="T51" s="26" t="str">
        <f aca="false">IF($B51="","",IF($Q51=TRUE(),"U1",IF($L51=TRUE(),"S1",IF($M51=TRUE(),"D"&amp;MIN(4,INT(($S51-1)/DisplayCapacity)+1),IF($N51=TRUE(),"K1",IF($O51=TRUE(),"P1",IF($P51=TRUE(),"U1",IF($R51=TRUE(),"U1","W"))))))))</f>
        <v>W</v>
      </c>
      <c r="U51" s="26" t="str">
        <f aca="false">IF($T51="","",$T51&amp;"-"&amp;COUNTIF($T$3:T51,$T51))</f>
        <v>W-27</v>
      </c>
      <c r="V51" s="26" t="str">
        <f aca="false">IF($B51="","",_xlfn.TEXTJOIN(" | ",TRUE(),IF($Q51=TRUE(),"Empty box - no physical device, verify status",""),IF(AND($P51=TRUE(),$L51=FALSE(),$M51=FALSE(),$N51=FALSE(),$O51=FALSE(),$Q51=FALSE()),"Speaker fault only - needs manual box assignment",""),IF(AND($R51=TRUE(),$L51=FALSE(),$M51=FALSE(),$N51=FALSE(),$O51=FALSE(),$P51=FALSE(),$Q51=FALSE()),"No fault detail given - needs technician inspection",""),IF(AND(COUNTIF($F$3:$F$252,$F51)&gt;1,LOWER(TRIM($F51))&lt;&gt;"empty"),"Duplicate Serial No - verify device identity",""),IF((--$L51+--$M51+--$N51+--$O51+--$P51)&gt;1,"Multiple fault types detected - review full details before repair","")))</f>
        <v/>
      </c>
      <c r="W51" s="26" t="n">
        <v>0</v>
      </c>
      <c r="X51" s="26"/>
    </row>
    <row r="52" customFormat="false" ht="15" hidden="false" customHeight="true" outlineLevel="0" collapsed="false">
      <c r="A52" s="32" t="n">
        <v>50</v>
      </c>
      <c r="B52" s="33" t="n">
        <v>46240.682907257</v>
      </c>
      <c r="C52" s="32" t="s">
        <v>90</v>
      </c>
      <c r="D52" s="32" t="str">
        <f aca="false">IF($B52="","",IFERROR(VLOOKUP(TRIM($C52),ModelMap,2,FALSE()),TRIM($C52)))</f>
        <v>X628</v>
      </c>
      <c r="E52" s="32" t="s">
        <v>245</v>
      </c>
      <c r="F52" s="32" t="s">
        <v>246</v>
      </c>
      <c r="G52" s="32" t="s">
        <v>132</v>
      </c>
      <c r="H52" s="32"/>
      <c r="I52" s="32" t="s">
        <v>247</v>
      </c>
      <c r="J52" s="32" t="s">
        <v>129</v>
      </c>
      <c r="K52" s="32" t="str">
        <f aca="false">IF($B52="","",LOWER(TRIM($G52)&amp;" | "&amp;TRIM($H52)&amp;" | "&amp;TRIM($I52)))</f>
        <v>working |  | display is not clear, speaker is not working</v>
      </c>
      <c r="L52" s="34" t="b">
        <f aca="false">IF($B52="","",SUMPRODUCT(--ISNUMBER(SEARCH(SensorKW,$K52)))&gt;0)</f>
        <v>0</v>
      </c>
      <c r="M52" s="34" t="b">
        <f aca="false">IF($B52="","",SUMPRODUCT(--ISNUMBER(SEARCH(DisplayKW,$K52)))&gt;0)</f>
        <v>1</v>
      </c>
      <c r="N52" s="34" t="b">
        <f aca="false">IF($B52="","",SUMPRODUCT(--ISNUMBER(SEARCH(KeypadKW,$K52)))&gt;0)</f>
        <v>0</v>
      </c>
      <c r="O52" s="34" t="b">
        <f aca="false">IF($B52="","",SUMPRODUCT(--ISNUMBER(SEARCH(PowerKW,$K52)))&gt;0)</f>
        <v>0</v>
      </c>
      <c r="P52" s="34" t="b">
        <f aca="false">IF($B52="","",SUMPRODUCT(--ISNUMBER(SEARCH(SpeakerKW,$K52)))&gt;0)</f>
        <v>1</v>
      </c>
      <c r="Q52" s="34" t="b">
        <f aca="false">IF($B52="","",OR(SUMPRODUCT(--ISNUMBER(SEARCH(EmptyKW,$K52)))&gt;0,LOWER(TRIM($F52))="empty"))</f>
        <v>0</v>
      </c>
      <c r="R52" s="34" t="b">
        <f aca="false">IF($B52="","",OR(ISNUMBER(SEARCH("repair",$G52)),ISNUMBER(SEARCH("not working",$G52))))</f>
        <v>0</v>
      </c>
      <c r="S52" s="32" t="n">
        <f aca="false">IF(AND($B52&lt;&gt;"",$M52=TRUE(),$L52=FALSE(),$Q52=FALSE()),COUNTIFS($M$3:$M52,TRUE(),$L$3:$L52,FALSE(),$Q$3:$Q52,FALSE()),"")</f>
        <v>6</v>
      </c>
      <c r="T52" s="32" t="str">
        <f aca="false">IF($B52="","",IF($Q52=TRUE(),"U1",IF($L52=TRUE(),"S1",IF($M52=TRUE(),"D"&amp;MIN(4,INT(($S52-1)/DisplayCapacity)+1),IF($N52=TRUE(),"K1",IF($O52=TRUE(),"P1",IF($P52=TRUE(),"U1",IF($R52=TRUE(),"U1","W"))))))))</f>
        <v>D1</v>
      </c>
      <c r="U52" s="32" t="str">
        <f aca="false">IF($T52="","",$T52&amp;"-"&amp;COUNTIF($T$3:T52,$T52))</f>
        <v>D1-6</v>
      </c>
      <c r="V52" s="32" t="str">
        <f aca="false">IF($B52="","",_xlfn.TEXTJOIN(" | ",TRUE(),IF($Q52=TRUE(),"Empty box - no physical device, verify status",""),IF(AND($P52=TRUE(),$L52=FALSE(),$M52=FALSE(),$N52=FALSE(),$O52=FALSE(),$Q52=FALSE()),"Speaker fault only - needs manual box assignment",""),IF(AND($R52=TRUE(),$L52=FALSE(),$M52=FALSE(),$N52=FALSE(),$O52=FALSE(),$P52=FALSE(),$Q52=FALSE()),"No fault detail given - needs technician inspection",""),IF(AND(COUNTIF($F$3:$F$252,$F52)&gt;1,LOWER(TRIM($F52))&lt;&gt;"empty"),"Duplicate Serial No - verify device identity",""),IF((--$L52+--$M52+--$N52+--$O52+--$P52)&gt;1,"Multiple fault types detected - review full details before repair","")))</f>
        <v>Multiple fault types detected - review full details before repair</v>
      </c>
      <c r="W52" s="32" t="n">
        <v>0</v>
      </c>
      <c r="X52" s="32"/>
    </row>
    <row r="53" customFormat="false" ht="15" hidden="false" customHeight="true" outlineLevel="0" collapsed="false">
      <c r="A53" s="26" t="n">
        <v>51</v>
      </c>
      <c r="B53" s="30" t="n">
        <v>46240.6839104745</v>
      </c>
      <c r="C53" s="26" t="s">
        <v>93</v>
      </c>
      <c r="D53" s="26" t="str">
        <f aca="false">IF($B53="","",IFERROR(VLOOKUP(TRIM($C53),ModelMap,2,FALSE()),TRIM($C53)))</f>
        <v>X628-C</v>
      </c>
      <c r="E53" s="26" t="s">
        <v>248</v>
      </c>
      <c r="F53" s="26" t="s">
        <v>249</v>
      </c>
      <c r="G53" s="26" t="s">
        <v>132</v>
      </c>
      <c r="H53" s="26"/>
      <c r="I53" s="26"/>
      <c r="J53" s="26" t="s">
        <v>133</v>
      </c>
      <c r="K53" s="26" t="str">
        <f aca="false">IF($B53="","",LOWER(TRIM($G53)&amp;" | "&amp;TRIM($H53)&amp;" | "&amp;TRIM($I53)))</f>
        <v>working |  | </v>
      </c>
      <c r="L53" s="31" t="b">
        <f aca="false">IF($B53="","",SUMPRODUCT(--ISNUMBER(SEARCH(SensorKW,$K53)))&gt;0)</f>
        <v>0</v>
      </c>
      <c r="M53" s="31" t="b">
        <f aca="false">IF($B53="","",SUMPRODUCT(--ISNUMBER(SEARCH(DisplayKW,$K53)))&gt;0)</f>
        <v>0</v>
      </c>
      <c r="N53" s="31" t="b">
        <f aca="false">IF($B53="","",SUMPRODUCT(--ISNUMBER(SEARCH(KeypadKW,$K53)))&gt;0)</f>
        <v>0</v>
      </c>
      <c r="O53" s="31" t="b">
        <f aca="false">IF($B53="","",SUMPRODUCT(--ISNUMBER(SEARCH(PowerKW,$K53)))&gt;0)</f>
        <v>0</v>
      </c>
      <c r="P53" s="31" t="b">
        <f aca="false">IF($B53="","",SUMPRODUCT(--ISNUMBER(SEARCH(SpeakerKW,$K53)))&gt;0)</f>
        <v>0</v>
      </c>
      <c r="Q53" s="31" t="b">
        <f aca="false">IF($B53="","",OR(SUMPRODUCT(--ISNUMBER(SEARCH(EmptyKW,$K53)))&gt;0,LOWER(TRIM($F53))="empty"))</f>
        <v>0</v>
      </c>
      <c r="R53" s="31" t="b">
        <f aca="false">IF($B53="","",OR(ISNUMBER(SEARCH("repair",$G53)),ISNUMBER(SEARCH("not working",$G53))))</f>
        <v>0</v>
      </c>
      <c r="S53" s="26" t="str">
        <f aca="false">IF(AND($B53&lt;&gt;"",$M53=TRUE(),$L53=FALSE(),$Q53=FALSE()),COUNTIFS($M$3:$M53,TRUE(),$L$3:$L53,FALSE(),$Q$3:$Q53,FALSE()),"")</f>
        <v/>
      </c>
      <c r="T53" s="26" t="str">
        <f aca="false">IF($B53="","",IF($Q53=TRUE(),"U1",IF($L53=TRUE(),"S1",IF($M53=TRUE(),"D"&amp;MIN(4,INT(($S53-1)/DisplayCapacity)+1),IF($N53=TRUE(),"K1",IF($O53=TRUE(),"P1",IF($P53=TRUE(),"U1",IF($R53=TRUE(),"U1","W"))))))))</f>
        <v>W</v>
      </c>
      <c r="U53" s="26" t="str">
        <f aca="false">IF($T53="","",$T53&amp;"-"&amp;COUNTIF($T$3:T53,$T53))</f>
        <v>W-28</v>
      </c>
      <c r="V53" s="26" t="str">
        <f aca="false">IF($B53="","",_xlfn.TEXTJOIN(" | ",TRUE(),IF($Q53=TRUE(),"Empty box - no physical device, verify status",""),IF(AND($P53=TRUE(),$L53=FALSE(),$M53=FALSE(),$N53=FALSE(),$O53=FALSE(),$Q53=FALSE()),"Speaker fault only - needs manual box assignment",""),IF(AND($R53=TRUE(),$L53=FALSE(),$M53=FALSE(),$N53=FALSE(),$O53=FALSE(),$P53=FALSE(),$Q53=FALSE()),"No fault detail given - needs technician inspection",""),IF(AND(COUNTIF($F$3:$F$252,$F53)&gt;1,LOWER(TRIM($F53))&lt;&gt;"empty"),"Duplicate Serial No - verify device identity",""),IF((--$L53+--$M53+--$N53+--$O53+--$P53)&gt;1,"Multiple fault types detected - review full details before repair","")))</f>
        <v/>
      </c>
      <c r="W53" s="26" t="n">
        <v>0</v>
      </c>
      <c r="X53" s="26"/>
    </row>
    <row r="54" customFormat="false" ht="15" hidden="false" customHeight="true" outlineLevel="0" collapsed="false">
      <c r="A54" s="32" t="n">
        <v>52</v>
      </c>
      <c r="B54" s="33" t="n">
        <v>46240.6878382292</v>
      </c>
      <c r="C54" s="32" t="s">
        <v>93</v>
      </c>
      <c r="D54" s="32" t="str">
        <f aca="false">IF($B54="","",IFERROR(VLOOKUP(TRIM($C54),ModelMap,2,FALSE()),TRIM($C54)))</f>
        <v>X628-C</v>
      </c>
      <c r="E54" s="32" t="s">
        <v>250</v>
      </c>
      <c r="F54" s="32" t="s">
        <v>251</v>
      </c>
      <c r="G54" s="32" t="s">
        <v>132</v>
      </c>
      <c r="H54" s="32"/>
      <c r="I54" s="32"/>
      <c r="J54" s="32" t="s">
        <v>133</v>
      </c>
      <c r="K54" s="32" t="str">
        <f aca="false">IF($B54="","",LOWER(TRIM($G54)&amp;" | "&amp;TRIM($H54)&amp;" | "&amp;TRIM($I54)))</f>
        <v>working |  | </v>
      </c>
      <c r="L54" s="34" t="b">
        <f aca="false">IF($B54="","",SUMPRODUCT(--ISNUMBER(SEARCH(SensorKW,$K54)))&gt;0)</f>
        <v>0</v>
      </c>
      <c r="M54" s="34" t="b">
        <f aca="false">IF($B54="","",SUMPRODUCT(--ISNUMBER(SEARCH(DisplayKW,$K54)))&gt;0)</f>
        <v>0</v>
      </c>
      <c r="N54" s="34" t="b">
        <f aca="false">IF($B54="","",SUMPRODUCT(--ISNUMBER(SEARCH(KeypadKW,$K54)))&gt;0)</f>
        <v>0</v>
      </c>
      <c r="O54" s="34" t="b">
        <f aca="false">IF($B54="","",SUMPRODUCT(--ISNUMBER(SEARCH(PowerKW,$K54)))&gt;0)</f>
        <v>0</v>
      </c>
      <c r="P54" s="34" t="b">
        <f aca="false">IF($B54="","",SUMPRODUCT(--ISNUMBER(SEARCH(SpeakerKW,$K54)))&gt;0)</f>
        <v>0</v>
      </c>
      <c r="Q54" s="34" t="b">
        <f aca="false">IF($B54="","",OR(SUMPRODUCT(--ISNUMBER(SEARCH(EmptyKW,$K54)))&gt;0,LOWER(TRIM($F54))="empty"))</f>
        <v>0</v>
      </c>
      <c r="R54" s="34" t="b">
        <f aca="false">IF($B54="","",OR(ISNUMBER(SEARCH("repair",$G54)),ISNUMBER(SEARCH("not working",$G54))))</f>
        <v>0</v>
      </c>
      <c r="S54" s="32" t="str">
        <f aca="false">IF(AND($B54&lt;&gt;"",$M54=TRUE(),$L54=FALSE(),$Q54=FALSE()),COUNTIFS($M$3:$M54,TRUE(),$L$3:$L54,FALSE(),$Q$3:$Q54,FALSE()),"")</f>
        <v/>
      </c>
      <c r="T54" s="32" t="str">
        <f aca="false">IF($B54="","",IF($Q54=TRUE(),"U1",IF($L54=TRUE(),"S1",IF($M54=TRUE(),"D"&amp;MIN(4,INT(($S54-1)/DisplayCapacity)+1),IF($N54=TRUE(),"K1",IF($O54=TRUE(),"P1",IF($P54=TRUE(),"U1",IF($R54=TRUE(),"U1","W"))))))))</f>
        <v>W</v>
      </c>
      <c r="U54" s="32" t="str">
        <f aca="false">IF($T54="","",$T54&amp;"-"&amp;COUNTIF($T$3:T54,$T54))</f>
        <v>W-29</v>
      </c>
      <c r="V54" s="32" t="str">
        <f aca="false">IF($B54="","",_xlfn.TEXTJOIN(" | ",TRUE(),IF($Q54=TRUE(),"Empty box - no physical device, verify status",""),IF(AND($P54=TRUE(),$L54=FALSE(),$M54=FALSE(),$N54=FALSE(),$O54=FALSE(),$Q54=FALSE()),"Speaker fault only - needs manual box assignment",""),IF(AND($R54=TRUE(),$L54=FALSE(),$M54=FALSE(),$N54=FALSE(),$O54=FALSE(),$P54=FALSE(),$Q54=FALSE()),"No fault detail given - needs technician inspection",""),IF(AND(COUNTIF($F$3:$F$252,$F54)&gt;1,LOWER(TRIM($F54))&lt;&gt;"empty"),"Duplicate Serial No - verify device identity",""),IF((--$L54+--$M54+--$N54+--$O54+--$P54)&gt;1,"Multiple fault types detected - review full details before repair","")))</f>
        <v/>
      </c>
      <c r="W54" s="32" t="n">
        <v>0</v>
      </c>
      <c r="X54" s="32"/>
    </row>
    <row r="55" customFormat="false" ht="15" hidden="false" customHeight="true" outlineLevel="0" collapsed="false">
      <c r="A55" s="26" t="n">
        <v>53</v>
      </c>
      <c r="B55" s="30" t="n">
        <v>46244.4268691551</v>
      </c>
      <c r="C55" s="26" t="s">
        <v>90</v>
      </c>
      <c r="D55" s="26" t="str">
        <f aca="false">IF($B55="","",IFERROR(VLOOKUP(TRIM($C55),ModelMap,2,FALSE()),TRIM($C55)))</f>
        <v>X628</v>
      </c>
      <c r="E55" s="26" t="s">
        <v>252</v>
      </c>
      <c r="F55" s="26" t="s">
        <v>253</v>
      </c>
      <c r="G55" s="26" t="s">
        <v>132</v>
      </c>
      <c r="H55" s="26"/>
      <c r="I55" s="26"/>
      <c r="J55" s="26" t="s">
        <v>133</v>
      </c>
      <c r="K55" s="26" t="str">
        <f aca="false">IF($B55="","",LOWER(TRIM($G55)&amp;" | "&amp;TRIM($H55)&amp;" | "&amp;TRIM($I55)))</f>
        <v>working |  | </v>
      </c>
      <c r="L55" s="31" t="b">
        <f aca="false">IF($B55="","",SUMPRODUCT(--ISNUMBER(SEARCH(SensorKW,$K55)))&gt;0)</f>
        <v>0</v>
      </c>
      <c r="M55" s="31" t="b">
        <f aca="false">IF($B55="","",SUMPRODUCT(--ISNUMBER(SEARCH(DisplayKW,$K55)))&gt;0)</f>
        <v>0</v>
      </c>
      <c r="N55" s="31" t="b">
        <f aca="false">IF($B55="","",SUMPRODUCT(--ISNUMBER(SEARCH(KeypadKW,$K55)))&gt;0)</f>
        <v>0</v>
      </c>
      <c r="O55" s="31" t="b">
        <f aca="false">IF($B55="","",SUMPRODUCT(--ISNUMBER(SEARCH(PowerKW,$K55)))&gt;0)</f>
        <v>0</v>
      </c>
      <c r="P55" s="31" t="b">
        <f aca="false">IF($B55="","",SUMPRODUCT(--ISNUMBER(SEARCH(SpeakerKW,$K55)))&gt;0)</f>
        <v>0</v>
      </c>
      <c r="Q55" s="31" t="b">
        <f aca="false">IF($B55="","",OR(SUMPRODUCT(--ISNUMBER(SEARCH(EmptyKW,$K55)))&gt;0,LOWER(TRIM($F55))="empty"))</f>
        <v>0</v>
      </c>
      <c r="R55" s="31" t="b">
        <f aca="false">IF($B55="","",OR(ISNUMBER(SEARCH("repair",$G55)),ISNUMBER(SEARCH("not working",$G55))))</f>
        <v>0</v>
      </c>
      <c r="S55" s="26" t="str">
        <f aca="false">IF(AND($B55&lt;&gt;"",$M55=TRUE(),$L55=FALSE(),$Q55=FALSE()),COUNTIFS($M$3:$M55,TRUE(),$L$3:$L55,FALSE(),$Q$3:$Q55,FALSE()),"")</f>
        <v/>
      </c>
      <c r="T55" s="26" t="str">
        <f aca="false">IF($B55="","",IF($Q55=TRUE(),"U1",IF($L55=TRUE(),"S1",IF($M55=TRUE(),"D"&amp;MIN(4,INT(($S55-1)/DisplayCapacity)+1),IF($N55=TRUE(),"K1",IF($O55=TRUE(),"P1",IF($P55=TRUE(),"U1",IF($R55=TRUE(),"U1","W"))))))))</f>
        <v>W</v>
      </c>
      <c r="U55" s="26" t="str">
        <f aca="false">IF($T55="","",$T55&amp;"-"&amp;COUNTIF($T$3:T55,$T55))</f>
        <v>W-30</v>
      </c>
      <c r="V55" s="26" t="str">
        <f aca="false">IF($B55="","",_xlfn.TEXTJOIN(" | ",TRUE(),IF($Q55=TRUE(),"Empty box - no physical device, verify status",""),IF(AND($P55=TRUE(),$L55=FALSE(),$M55=FALSE(),$N55=FALSE(),$O55=FALSE(),$Q55=FALSE()),"Speaker fault only - needs manual box assignment",""),IF(AND($R55=TRUE(),$L55=FALSE(),$M55=FALSE(),$N55=FALSE(),$O55=FALSE(),$P55=FALSE(),$Q55=FALSE()),"No fault detail given - needs technician inspection",""),IF(AND(COUNTIF($F$3:$F$252,$F55)&gt;1,LOWER(TRIM($F55))&lt;&gt;"empty"),"Duplicate Serial No - verify device identity",""),IF((--$L55+--$M55+--$N55+--$O55+--$P55)&gt;1,"Multiple fault types detected - review full details before repair","")))</f>
        <v/>
      </c>
      <c r="W55" s="26" t="n">
        <v>0</v>
      </c>
      <c r="X55" s="26"/>
    </row>
    <row r="56" customFormat="false" ht="15" hidden="false" customHeight="true" outlineLevel="0" collapsed="false">
      <c r="A56" s="32" t="n">
        <v>54</v>
      </c>
      <c r="B56" s="33" t="n">
        <v>46244.4327035417</v>
      </c>
      <c r="C56" s="32" t="s">
        <v>90</v>
      </c>
      <c r="D56" s="32" t="str">
        <f aca="false">IF($B56="","",IFERROR(VLOOKUP(TRIM($C56),ModelMap,2,FALSE()),TRIM($C56)))</f>
        <v>X628</v>
      </c>
      <c r="E56" s="32" t="s">
        <v>254</v>
      </c>
      <c r="F56" s="32" t="s">
        <v>255</v>
      </c>
      <c r="G56" s="32" t="s">
        <v>132</v>
      </c>
      <c r="H56" s="32"/>
      <c r="I56" s="32"/>
      <c r="J56" s="32" t="s">
        <v>133</v>
      </c>
      <c r="K56" s="32" t="str">
        <f aca="false">IF($B56="","",LOWER(TRIM($G56)&amp;" | "&amp;TRIM($H56)&amp;" | "&amp;TRIM($I56)))</f>
        <v>working |  | </v>
      </c>
      <c r="L56" s="34" t="b">
        <f aca="false">IF($B56="","",SUMPRODUCT(--ISNUMBER(SEARCH(SensorKW,$K56)))&gt;0)</f>
        <v>0</v>
      </c>
      <c r="M56" s="34" t="b">
        <f aca="false">IF($B56="","",SUMPRODUCT(--ISNUMBER(SEARCH(DisplayKW,$K56)))&gt;0)</f>
        <v>0</v>
      </c>
      <c r="N56" s="34" t="b">
        <f aca="false">IF($B56="","",SUMPRODUCT(--ISNUMBER(SEARCH(KeypadKW,$K56)))&gt;0)</f>
        <v>0</v>
      </c>
      <c r="O56" s="34" t="b">
        <f aca="false">IF($B56="","",SUMPRODUCT(--ISNUMBER(SEARCH(PowerKW,$K56)))&gt;0)</f>
        <v>0</v>
      </c>
      <c r="P56" s="34" t="b">
        <f aca="false">IF($B56="","",SUMPRODUCT(--ISNUMBER(SEARCH(SpeakerKW,$K56)))&gt;0)</f>
        <v>0</v>
      </c>
      <c r="Q56" s="34" t="b">
        <f aca="false">IF($B56="","",OR(SUMPRODUCT(--ISNUMBER(SEARCH(EmptyKW,$K56)))&gt;0,LOWER(TRIM($F56))="empty"))</f>
        <v>0</v>
      </c>
      <c r="R56" s="34" t="b">
        <f aca="false">IF($B56="","",OR(ISNUMBER(SEARCH("repair",$G56)),ISNUMBER(SEARCH("not working",$G56))))</f>
        <v>0</v>
      </c>
      <c r="S56" s="32" t="str">
        <f aca="false">IF(AND($B56&lt;&gt;"",$M56=TRUE(),$L56=FALSE(),$Q56=FALSE()),COUNTIFS($M$3:$M56,TRUE(),$L$3:$L56,FALSE(),$Q$3:$Q56,FALSE()),"")</f>
        <v/>
      </c>
      <c r="T56" s="32" t="str">
        <f aca="false">IF($B56="","",IF($Q56=TRUE(),"U1",IF($L56=TRUE(),"S1",IF($M56=TRUE(),"D"&amp;MIN(4,INT(($S56-1)/DisplayCapacity)+1),IF($N56=TRUE(),"K1",IF($O56=TRUE(),"P1",IF($P56=TRUE(),"U1",IF($R56=TRUE(),"U1","W"))))))))</f>
        <v>W</v>
      </c>
      <c r="U56" s="32" t="str">
        <f aca="false">IF($T56="","",$T56&amp;"-"&amp;COUNTIF($T$3:T56,$T56))</f>
        <v>W-31</v>
      </c>
      <c r="V56" s="32" t="str">
        <f aca="false">IF($B56="","",_xlfn.TEXTJOIN(" | ",TRUE(),IF($Q56=TRUE(),"Empty box - no physical device, verify status",""),IF(AND($P56=TRUE(),$L56=FALSE(),$M56=FALSE(),$N56=FALSE(),$O56=FALSE(),$Q56=FALSE()),"Speaker fault only - needs manual box assignment",""),IF(AND($R56=TRUE(),$L56=FALSE(),$M56=FALSE(),$N56=FALSE(),$O56=FALSE(),$P56=FALSE(),$Q56=FALSE()),"No fault detail given - needs technician inspection",""),IF(AND(COUNTIF($F$3:$F$252,$F56)&gt;1,LOWER(TRIM($F56))&lt;&gt;"empty"),"Duplicate Serial No - verify device identity",""),IF((--$L56+--$M56+--$N56+--$O56+--$P56)&gt;1,"Multiple fault types detected - review full details before repair","")))</f>
        <v/>
      </c>
      <c r="W56" s="32" t="n">
        <v>0</v>
      </c>
      <c r="X56" s="32"/>
    </row>
    <row r="57" customFormat="false" ht="15" hidden="false" customHeight="true" outlineLevel="0" collapsed="false">
      <c r="A57" s="26" t="n">
        <v>55</v>
      </c>
      <c r="B57" s="30" t="n">
        <v>46244.4361066204</v>
      </c>
      <c r="C57" s="26" t="s">
        <v>90</v>
      </c>
      <c r="D57" s="26" t="str">
        <f aca="false">IF($B57="","",IFERROR(VLOOKUP(TRIM($C57),ModelMap,2,FALSE()),TRIM($C57)))</f>
        <v>X628</v>
      </c>
      <c r="E57" s="26" t="s">
        <v>256</v>
      </c>
      <c r="F57" s="26" t="s">
        <v>257</v>
      </c>
      <c r="G57" s="26" t="s">
        <v>132</v>
      </c>
      <c r="H57" s="26"/>
      <c r="I57" s="26"/>
      <c r="J57" s="26" t="s">
        <v>133</v>
      </c>
      <c r="K57" s="26" t="str">
        <f aca="false">IF($B57="","",LOWER(TRIM($G57)&amp;" | "&amp;TRIM($H57)&amp;" | "&amp;TRIM($I57)))</f>
        <v>working |  | </v>
      </c>
      <c r="L57" s="31" t="b">
        <f aca="false">IF($B57="","",SUMPRODUCT(--ISNUMBER(SEARCH(SensorKW,$K57)))&gt;0)</f>
        <v>0</v>
      </c>
      <c r="M57" s="31" t="b">
        <f aca="false">IF($B57="","",SUMPRODUCT(--ISNUMBER(SEARCH(DisplayKW,$K57)))&gt;0)</f>
        <v>0</v>
      </c>
      <c r="N57" s="31" t="b">
        <f aca="false">IF($B57="","",SUMPRODUCT(--ISNUMBER(SEARCH(KeypadKW,$K57)))&gt;0)</f>
        <v>0</v>
      </c>
      <c r="O57" s="31" t="b">
        <f aca="false">IF($B57="","",SUMPRODUCT(--ISNUMBER(SEARCH(PowerKW,$K57)))&gt;0)</f>
        <v>0</v>
      </c>
      <c r="P57" s="31" t="b">
        <f aca="false">IF($B57="","",SUMPRODUCT(--ISNUMBER(SEARCH(SpeakerKW,$K57)))&gt;0)</f>
        <v>0</v>
      </c>
      <c r="Q57" s="31" t="b">
        <f aca="false">IF($B57="","",OR(SUMPRODUCT(--ISNUMBER(SEARCH(EmptyKW,$K57)))&gt;0,LOWER(TRIM($F57))="empty"))</f>
        <v>0</v>
      </c>
      <c r="R57" s="31" t="b">
        <f aca="false">IF($B57="","",OR(ISNUMBER(SEARCH("repair",$G57)),ISNUMBER(SEARCH("not working",$G57))))</f>
        <v>0</v>
      </c>
      <c r="S57" s="26" t="str">
        <f aca="false">IF(AND($B57&lt;&gt;"",$M57=TRUE(),$L57=FALSE(),$Q57=FALSE()),COUNTIFS($M$3:$M57,TRUE(),$L$3:$L57,FALSE(),$Q$3:$Q57,FALSE()),"")</f>
        <v/>
      </c>
      <c r="T57" s="26" t="str">
        <f aca="false">IF($B57="","",IF($Q57=TRUE(),"U1",IF($L57=TRUE(),"S1",IF($M57=TRUE(),"D"&amp;MIN(4,INT(($S57-1)/DisplayCapacity)+1),IF($N57=TRUE(),"K1",IF($O57=TRUE(),"P1",IF($P57=TRUE(),"U1",IF($R57=TRUE(),"U1","W"))))))))</f>
        <v>W</v>
      </c>
      <c r="U57" s="26" t="str">
        <f aca="false">IF($T57="","",$T57&amp;"-"&amp;COUNTIF($T$3:T57,$T57))</f>
        <v>W-32</v>
      </c>
      <c r="V57" s="26" t="str">
        <f aca="false">IF($B57="","",_xlfn.TEXTJOIN(" | ",TRUE(),IF($Q57=TRUE(),"Empty box - no physical device, verify status",""),IF(AND($P57=TRUE(),$L57=FALSE(),$M57=FALSE(),$N57=FALSE(),$O57=FALSE(),$Q57=FALSE()),"Speaker fault only - needs manual box assignment",""),IF(AND($R57=TRUE(),$L57=FALSE(),$M57=FALSE(),$N57=FALSE(),$O57=FALSE(),$P57=FALSE(),$Q57=FALSE()),"No fault detail given - needs technician inspection",""),IF(AND(COUNTIF($F$3:$F$252,$F57)&gt;1,LOWER(TRIM($F57))&lt;&gt;"empty"),"Duplicate Serial No - verify device identity",""),IF((--$L57+--$M57+--$N57+--$O57+--$P57)&gt;1,"Multiple fault types detected - review full details before repair","")))</f>
        <v/>
      </c>
      <c r="W57" s="26" t="n">
        <v>0</v>
      </c>
      <c r="X57" s="26"/>
    </row>
    <row r="58" customFormat="false" ht="15" hidden="false" customHeight="true" outlineLevel="0" collapsed="false">
      <c r="A58" s="32" t="n">
        <v>56</v>
      </c>
      <c r="B58" s="33" t="n">
        <v>46244.4455345949</v>
      </c>
      <c r="C58" s="32" t="s">
        <v>90</v>
      </c>
      <c r="D58" s="32" t="str">
        <f aca="false">IF($B58="","",IFERROR(VLOOKUP(TRIM($C58),ModelMap,2,FALSE()),TRIM($C58)))</f>
        <v>X628</v>
      </c>
      <c r="E58" s="32" t="s">
        <v>258</v>
      </c>
      <c r="F58" s="32" t="s">
        <v>259</v>
      </c>
      <c r="G58" s="32" t="s">
        <v>150</v>
      </c>
      <c r="H58" s="32" t="s">
        <v>230</v>
      </c>
      <c r="I58" s="32"/>
      <c r="J58" s="32" t="s">
        <v>133</v>
      </c>
      <c r="K58" s="32" t="str">
        <f aca="false">IF($B58="","",LOWER(TRIM($G58)&amp;" | "&amp;TRIM($H58)&amp;" | "&amp;TRIM($I58)))</f>
        <v>working, have to repair | sensor is not working | </v>
      </c>
      <c r="L58" s="34" t="b">
        <f aca="false">IF($B58="","",SUMPRODUCT(--ISNUMBER(SEARCH(SensorKW,$K58)))&gt;0)</f>
        <v>1</v>
      </c>
      <c r="M58" s="34" t="b">
        <f aca="false">IF($B58="","",SUMPRODUCT(--ISNUMBER(SEARCH(DisplayKW,$K58)))&gt;0)</f>
        <v>0</v>
      </c>
      <c r="N58" s="34" t="b">
        <f aca="false">IF($B58="","",SUMPRODUCT(--ISNUMBER(SEARCH(KeypadKW,$K58)))&gt;0)</f>
        <v>0</v>
      </c>
      <c r="O58" s="34" t="b">
        <f aca="false">IF($B58="","",SUMPRODUCT(--ISNUMBER(SEARCH(PowerKW,$K58)))&gt;0)</f>
        <v>0</v>
      </c>
      <c r="P58" s="34" t="b">
        <f aca="false">IF($B58="","",SUMPRODUCT(--ISNUMBER(SEARCH(SpeakerKW,$K58)))&gt;0)</f>
        <v>0</v>
      </c>
      <c r="Q58" s="34" t="b">
        <f aca="false">IF($B58="","",OR(SUMPRODUCT(--ISNUMBER(SEARCH(EmptyKW,$K58)))&gt;0,LOWER(TRIM($F58))="empty"))</f>
        <v>0</v>
      </c>
      <c r="R58" s="34" t="b">
        <f aca="false">IF($B58="","",OR(ISNUMBER(SEARCH("repair",$G58)),ISNUMBER(SEARCH("not working",$G58))))</f>
        <v>1</v>
      </c>
      <c r="S58" s="32" t="str">
        <f aca="false">IF(AND($B58&lt;&gt;"",$M58=TRUE(),$L58=FALSE(),$Q58=FALSE()),COUNTIFS($M$3:$M58,TRUE(),$L$3:$L58,FALSE(),$Q$3:$Q58,FALSE()),"")</f>
        <v/>
      </c>
      <c r="T58" s="32" t="str">
        <f aca="false">IF($B58="","",IF($Q58=TRUE(),"U1",IF($L58=TRUE(),"S1",IF($M58=TRUE(),"D"&amp;MIN(4,INT(($S58-1)/DisplayCapacity)+1),IF($N58=TRUE(),"K1",IF($O58=TRUE(),"P1",IF($P58=TRUE(),"U1",IF($R58=TRUE(),"U1","W"))))))))</f>
        <v>S1</v>
      </c>
      <c r="U58" s="32" t="str">
        <f aca="false">IF($T58="","",$T58&amp;"-"&amp;COUNTIF($T$3:T58,$T58))</f>
        <v>S1-12</v>
      </c>
      <c r="V58" s="32" t="str">
        <f aca="false">IF($B58="","",_xlfn.TEXTJOIN(" | ",TRUE(),IF($Q58=TRUE(),"Empty box - no physical device, verify status",""),IF(AND($P58=TRUE(),$L58=FALSE(),$M58=FALSE(),$N58=FALSE(),$O58=FALSE(),$Q58=FALSE()),"Speaker fault only - needs manual box assignment",""),IF(AND($R58=TRUE(),$L58=FALSE(),$M58=FALSE(),$N58=FALSE(),$O58=FALSE(),$P58=FALSE(),$Q58=FALSE()),"No fault detail given - needs technician inspection",""),IF(AND(COUNTIF($F$3:$F$252,$F58)&gt;1,LOWER(TRIM($F58))&lt;&gt;"empty"),"Duplicate Serial No - verify device identity",""),IF((--$L58+--$M58+--$N58+--$O58+--$P58)&gt;1,"Multiple fault types detected - review full details before repair","")))</f>
        <v/>
      </c>
      <c r="W58" s="32" t="n">
        <v>0</v>
      </c>
      <c r="X58" s="32"/>
    </row>
    <row r="59" customFormat="false" ht="15" hidden="false" customHeight="true" outlineLevel="0" collapsed="false">
      <c r="A59" s="26" t="n">
        <v>57</v>
      </c>
      <c r="B59" s="30" t="n">
        <v>46244.4484804514</v>
      </c>
      <c r="C59" s="26" t="s">
        <v>92</v>
      </c>
      <c r="D59" s="26" t="str">
        <f aca="false">IF($B59="","",IFERROR(VLOOKUP(TRIM($C59),ModelMap,2,FALSE()),TRIM($C59)))</f>
        <v>TX628</v>
      </c>
      <c r="E59" s="26" t="s">
        <v>260</v>
      </c>
      <c r="F59" s="26" t="s">
        <v>261</v>
      </c>
      <c r="G59" s="26" t="s">
        <v>132</v>
      </c>
      <c r="H59" s="26"/>
      <c r="I59" s="26"/>
      <c r="J59" s="26" t="s">
        <v>133</v>
      </c>
      <c r="K59" s="26" t="str">
        <f aca="false">IF($B59="","",LOWER(TRIM($G59)&amp;" | "&amp;TRIM($H59)&amp;" | "&amp;TRIM($I59)))</f>
        <v>working |  | </v>
      </c>
      <c r="L59" s="31" t="b">
        <f aca="false">IF($B59="","",SUMPRODUCT(--ISNUMBER(SEARCH(SensorKW,$K59)))&gt;0)</f>
        <v>0</v>
      </c>
      <c r="M59" s="31" t="b">
        <f aca="false">IF($B59="","",SUMPRODUCT(--ISNUMBER(SEARCH(DisplayKW,$K59)))&gt;0)</f>
        <v>0</v>
      </c>
      <c r="N59" s="31" t="b">
        <f aca="false">IF($B59="","",SUMPRODUCT(--ISNUMBER(SEARCH(KeypadKW,$K59)))&gt;0)</f>
        <v>0</v>
      </c>
      <c r="O59" s="31" t="b">
        <f aca="false">IF($B59="","",SUMPRODUCT(--ISNUMBER(SEARCH(PowerKW,$K59)))&gt;0)</f>
        <v>0</v>
      </c>
      <c r="P59" s="31" t="b">
        <f aca="false">IF($B59="","",SUMPRODUCT(--ISNUMBER(SEARCH(SpeakerKW,$K59)))&gt;0)</f>
        <v>0</v>
      </c>
      <c r="Q59" s="31" t="b">
        <f aca="false">IF($B59="","",OR(SUMPRODUCT(--ISNUMBER(SEARCH(EmptyKW,$K59)))&gt;0,LOWER(TRIM($F59))="empty"))</f>
        <v>0</v>
      </c>
      <c r="R59" s="31" t="b">
        <f aca="false">IF($B59="","",OR(ISNUMBER(SEARCH("repair",$G59)),ISNUMBER(SEARCH("not working",$G59))))</f>
        <v>0</v>
      </c>
      <c r="S59" s="26" t="str">
        <f aca="false">IF(AND($B59&lt;&gt;"",$M59=TRUE(),$L59=FALSE(),$Q59=FALSE()),COUNTIFS($M$3:$M59,TRUE(),$L$3:$L59,FALSE(),$Q$3:$Q59,FALSE()),"")</f>
        <v/>
      </c>
      <c r="T59" s="26" t="str">
        <f aca="false">IF($B59="","",IF($Q59=TRUE(),"U1",IF($L59=TRUE(),"S1",IF($M59=TRUE(),"D"&amp;MIN(4,INT(($S59-1)/DisplayCapacity)+1),IF($N59=TRUE(),"K1",IF($O59=TRUE(),"P1",IF($P59=TRUE(),"U1",IF($R59=TRUE(),"U1","W"))))))))</f>
        <v>W</v>
      </c>
      <c r="U59" s="26" t="str">
        <f aca="false">IF($T59="","",$T59&amp;"-"&amp;COUNTIF($T$3:T59,$T59))</f>
        <v>W-33</v>
      </c>
      <c r="V59" s="26" t="str">
        <f aca="false">IF($B59="","",_xlfn.TEXTJOIN(" | ",TRUE(),IF($Q59=TRUE(),"Empty box - no physical device, verify status",""),IF(AND($P59=TRUE(),$L59=FALSE(),$M59=FALSE(),$N59=FALSE(),$O59=FALSE(),$Q59=FALSE()),"Speaker fault only - needs manual box assignment",""),IF(AND($R59=TRUE(),$L59=FALSE(),$M59=FALSE(),$N59=FALSE(),$O59=FALSE(),$P59=FALSE(),$Q59=FALSE()),"No fault detail given - needs technician inspection",""),IF(AND(COUNTIF($F$3:$F$252,$F59)&gt;1,LOWER(TRIM($F59))&lt;&gt;"empty"),"Duplicate Serial No - verify device identity",""),IF((--$L59+--$M59+--$N59+--$O59+--$P59)&gt;1,"Multiple fault types detected - review full details before repair","")))</f>
        <v/>
      </c>
      <c r="W59" s="26" t="n">
        <v>0</v>
      </c>
      <c r="X59" s="26"/>
    </row>
    <row r="60" customFormat="false" ht="15" hidden="false" customHeight="true" outlineLevel="0" collapsed="false">
      <c r="A60" s="32" t="n">
        <v>58</v>
      </c>
      <c r="B60" s="33" t="n">
        <v>46244.4561576736</v>
      </c>
      <c r="C60" s="32" t="s">
        <v>92</v>
      </c>
      <c r="D60" s="32" t="str">
        <f aca="false">IF($B60="","",IFERROR(VLOOKUP(TRIM($C60),ModelMap,2,FALSE()),TRIM($C60)))</f>
        <v>TX628</v>
      </c>
      <c r="E60" s="32" t="s">
        <v>262</v>
      </c>
      <c r="F60" s="32" t="s">
        <v>263</v>
      </c>
      <c r="G60" s="32" t="s">
        <v>150</v>
      </c>
      <c r="H60" s="32"/>
      <c r="I60" s="32" t="s">
        <v>264</v>
      </c>
      <c r="J60" s="32" t="s">
        <v>133</v>
      </c>
      <c r="K60" s="32" t="str">
        <f aca="false">IF($B60="","",LOWER(TRIM($G60)&amp;" | "&amp;TRIM($H60)&amp;" | "&amp;TRIM($I60)))</f>
        <v>working, have to repair |  | speaker is not working</v>
      </c>
      <c r="L60" s="34" t="b">
        <f aca="false">IF($B60="","",SUMPRODUCT(--ISNUMBER(SEARCH(SensorKW,$K60)))&gt;0)</f>
        <v>0</v>
      </c>
      <c r="M60" s="34" t="b">
        <f aca="false">IF($B60="","",SUMPRODUCT(--ISNUMBER(SEARCH(DisplayKW,$K60)))&gt;0)</f>
        <v>0</v>
      </c>
      <c r="N60" s="34" t="b">
        <f aca="false">IF($B60="","",SUMPRODUCT(--ISNUMBER(SEARCH(KeypadKW,$K60)))&gt;0)</f>
        <v>0</v>
      </c>
      <c r="O60" s="34" t="b">
        <f aca="false">IF($B60="","",SUMPRODUCT(--ISNUMBER(SEARCH(PowerKW,$K60)))&gt;0)</f>
        <v>0</v>
      </c>
      <c r="P60" s="34" t="b">
        <f aca="false">IF($B60="","",SUMPRODUCT(--ISNUMBER(SEARCH(SpeakerKW,$K60)))&gt;0)</f>
        <v>1</v>
      </c>
      <c r="Q60" s="34" t="b">
        <f aca="false">IF($B60="","",OR(SUMPRODUCT(--ISNUMBER(SEARCH(EmptyKW,$K60)))&gt;0,LOWER(TRIM($F60))="empty"))</f>
        <v>0</v>
      </c>
      <c r="R60" s="34" t="b">
        <f aca="false">IF($B60="","",OR(ISNUMBER(SEARCH("repair",$G60)),ISNUMBER(SEARCH("not working",$G60))))</f>
        <v>1</v>
      </c>
      <c r="S60" s="32" t="str">
        <f aca="false">IF(AND($B60&lt;&gt;"",$M60=TRUE(),$L60=FALSE(),$Q60=FALSE()),COUNTIFS($M$3:$M60,TRUE(),$L$3:$L60,FALSE(),$Q$3:$Q60,FALSE()),"")</f>
        <v/>
      </c>
      <c r="T60" s="32" t="str">
        <f aca="false">IF($B60="","",IF($Q60=TRUE(),"U1",IF($L60=TRUE(),"S1",IF($M60=TRUE(),"D"&amp;MIN(4,INT(($S60-1)/DisplayCapacity)+1),IF($N60=TRUE(),"K1",IF($O60=TRUE(),"P1",IF($P60=TRUE(),"U1",IF($R60=TRUE(),"U1","W"))))))))</f>
        <v>U1</v>
      </c>
      <c r="U60" s="32" t="str">
        <f aca="false">IF($T60="","",$T60&amp;"-"&amp;COUNTIF($T$3:T60,$T60))</f>
        <v>U1-2</v>
      </c>
      <c r="V60" s="32" t="str">
        <f aca="false">IF($B60="","",_xlfn.TEXTJOIN(" | ",TRUE(),IF($Q60=TRUE(),"Empty box - no physical device, verify status",""),IF(AND($P60=TRUE(),$L60=FALSE(),$M60=FALSE(),$N60=FALSE(),$O60=FALSE(),$Q60=FALSE()),"Speaker fault only - needs manual box assignment",""),IF(AND($R60=TRUE(),$L60=FALSE(),$M60=FALSE(),$N60=FALSE(),$O60=FALSE(),$P60=FALSE(),$Q60=FALSE()),"No fault detail given - needs technician inspection",""),IF(AND(COUNTIF($F$3:$F$252,$F60)&gt;1,LOWER(TRIM($F60))&lt;&gt;"empty"),"Duplicate Serial No - verify device identity",""),IF((--$L60+--$M60+--$N60+--$O60+--$P60)&gt;1,"Multiple fault types detected - review full details before repair","")))</f>
        <v>Speaker fault only - needs manual box assignment</v>
      </c>
      <c r="W60" s="32" t="n">
        <v>0</v>
      </c>
      <c r="X60" s="32"/>
    </row>
    <row r="61" customFormat="false" ht="15" hidden="false" customHeight="true" outlineLevel="0" collapsed="false">
      <c r="A61" s="26" t="n">
        <v>59</v>
      </c>
      <c r="B61" s="30" t="n">
        <v>46244.4630315278</v>
      </c>
      <c r="C61" s="26" t="s">
        <v>99</v>
      </c>
      <c r="D61" s="26" t="str">
        <f aca="false">IF($B61="","",IFERROR(VLOOKUP(TRIM($C61),ModelMap,2,FALSE()),TRIM($C61)))</f>
        <v>G1</v>
      </c>
      <c r="E61" s="26" t="s">
        <v>265</v>
      </c>
      <c r="F61" s="26" t="s">
        <v>266</v>
      </c>
      <c r="G61" s="26" t="s">
        <v>132</v>
      </c>
      <c r="H61" s="26"/>
      <c r="I61" s="26"/>
      <c r="J61" s="26" t="s">
        <v>133</v>
      </c>
      <c r="K61" s="26" t="str">
        <f aca="false">IF($B61="","",LOWER(TRIM($G61)&amp;" | "&amp;TRIM($H61)&amp;" | "&amp;TRIM($I61)))</f>
        <v>working |  | </v>
      </c>
      <c r="L61" s="31" t="b">
        <f aca="false">IF($B61="","",SUMPRODUCT(--ISNUMBER(SEARCH(SensorKW,$K61)))&gt;0)</f>
        <v>0</v>
      </c>
      <c r="M61" s="31" t="b">
        <f aca="false">IF($B61="","",SUMPRODUCT(--ISNUMBER(SEARCH(DisplayKW,$K61)))&gt;0)</f>
        <v>0</v>
      </c>
      <c r="N61" s="31" t="b">
        <f aca="false">IF($B61="","",SUMPRODUCT(--ISNUMBER(SEARCH(KeypadKW,$K61)))&gt;0)</f>
        <v>0</v>
      </c>
      <c r="O61" s="31" t="b">
        <f aca="false">IF($B61="","",SUMPRODUCT(--ISNUMBER(SEARCH(PowerKW,$K61)))&gt;0)</f>
        <v>0</v>
      </c>
      <c r="P61" s="31" t="b">
        <f aca="false">IF($B61="","",SUMPRODUCT(--ISNUMBER(SEARCH(SpeakerKW,$K61)))&gt;0)</f>
        <v>0</v>
      </c>
      <c r="Q61" s="31" t="b">
        <f aca="false">IF($B61="","",OR(SUMPRODUCT(--ISNUMBER(SEARCH(EmptyKW,$K61)))&gt;0,LOWER(TRIM($F61))="empty"))</f>
        <v>0</v>
      </c>
      <c r="R61" s="31" t="b">
        <f aca="false">IF($B61="","",OR(ISNUMBER(SEARCH("repair",$G61)),ISNUMBER(SEARCH("not working",$G61))))</f>
        <v>0</v>
      </c>
      <c r="S61" s="26" t="str">
        <f aca="false">IF(AND($B61&lt;&gt;"",$M61=TRUE(),$L61=FALSE(),$Q61=FALSE()),COUNTIFS($M$3:$M61,TRUE(),$L$3:$L61,FALSE(),$Q$3:$Q61,FALSE()),"")</f>
        <v/>
      </c>
      <c r="T61" s="26" t="str">
        <f aca="false">IF($B61="","",IF($Q61=TRUE(),"U1",IF($L61=TRUE(),"S1",IF($M61=TRUE(),"D"&amp;MIN(4,INT(($S61-1)/DisplayCapacity)+1),IF($N61=TRUE(),"K1",IF($O61=TRUE(),"P1",IF($P61=TRUE(),"U1",IF($R61=TRUE(),"U1","W"))))))))</f>
        <v>W</v>
      </c>
      <c r="U61" s="26" t="str">
        <f aca="false">IF($T61="","",$T61&amp;"-"&amp;COUNTIF($T$3:T61,$T61))</f>
        <v>W-34</v>
      </c>
      <c r="V61" s="26" t="str">
        <f aca="false">IF($B61="","",_xlfn.TEXTJOIN(" | ",TRUE(),IF($Q61=TRUE(),"Empty box - no physical device, verify status",""),IF(AND($P61=TRUE(),$L61=FALSE(),$M61=FALSE(),$N61=FALSE(),$O61=FALSE(),$Q61=FALSE()),"Speaker fault only - needs manual box assignment",""),IF(AND($R61=TRUE(),$L61=FALSE(),$M61=FALSE(),$N61=FALSE(),$O61=FALSE(),$P61=FALSE(),$Q61=FALSE()),"No fault detail given - needs technician inspection",""),IF(AND(COUNTIF($F$3:$F$252,$F61)&gt;1,LOWER(TRIM($F61))&lt;&gt;"empty"),"Duplicate Serial No - verify device identity",""),IF((--$L61+--$M61+--$N61+--$O61+--$P61)&gt;1,"Multiple fault types detected - review full details before repair","")))</f>
        <v/>
      </c>
      <c r="W61" s="26" t="n">
        <v>0</v>
      </c>
      <c r="X61" s="26"/>
    </row>
    <row r="62" customFormat="false" ht="15" hidden="false" customHeight="true" outlineLevel="0" collapsed="false">
      <c r="A62" s="32" t="n">
        <v>60</v>
      </c>
      <c r="B62" s="33" t="n">
        <v>46244.4867900232</v>
      </c>
      <c r="C62" s="32" t="s">
        <v>90</v>
      </c>
      <c r="D62" s="32" t="str">
        <f aca="false">IF($B62="","",IFERROR(VLOOKUP(TRIM($C62),ModelMap,2,FALSE()),TRIM($C62)))</f>
        <v>X628</v>
      </c>
      <c r="E62" s="32" t="s">
        <v>245</v>
      </c>
      <c r="F62" s="32" t="s">
        <v>267</v>
      </c>
      <c r="G62" s="32" t="s">
        <v>150</v>
      </c>
      <c r="H62" s="32" t="s">
        <v>156</v>
      </c>
      <c r="I62" s="32"/>
      <c r="J62" s="32" t="s">
        <v>133</v>
      </c>
      <c r="K62" s="32" t="str">
        <f aca="false">IF($B62="","",LOWER(TRIM($G62)&amp;" | "&amp;TRIM($H62)&amp;" | "&amp;TRIM($I62)))</f>
        <v>working, have to repair | no sensor and also have power issue some time device is off automatically | </v>
      </c>
      <c r="L62" s="34" t="b">
        <f aca="false">IF($B62="","",SUMPRODUCT(--ISNUMBER(SEARCH(SensorKW,$K62)))&gt;0)</f>
        <v>1</v>
      </c>
      <c r="M62" s="34" t="b">
        <f aca="false">IF($B62="","",SUMPRODUCT(--ISNUMBER(SEARCH(DisplayKW,$K62)))&gt;0)</f>
        <v>0</v>
      </c>
      <c r="N62" s="34" t="b">
        <f aca="false">IF($B62="","",SUMPRODUCT(--ISNUMBER(SEARCH(KeypadKW,$K62)))&gt;0)</f>
        <v>0</v>
      </c>
      <c r="O62" s="34" t="b">
        <f aca="false">IF($B62="","",SUMPRODUCT(--ISNUMBER(SEARCH(PowerKW,$K62)))&gt;0)</f>
        <v>1</v>
      </c>
      <c r="P62" s="34" t="b">
        <f aca="false">IF($B62="","",SUMPRODUCT(--ISNUMBER(SEARCH(SpeakerKW,$K62)))&gt;0)</f>
        <v>0</v>
      </c>
      <c r="Q62" s="34" t="b">
        <f aca="false">IF($B62="","",OR(SUMPRODUCT(--ISNUMBER(SEARCH(EmptyKW,$K62)))&gt;0,LOWER(TRIM($F62))="empty"))</f>
        <v>0</v>
      </c>
      <c r="R62" s="34" t="b">
        <f aca="false">IF($B62="","",OR(ISNUMBER(SEARCH("repair",$G62)),ISNUMBER(SEARCH("not working",$G62))))</f>
        <v>1</v>
      </c>
      <c r="S62" s="32" t="str">
        <f aca="false">IF(AND($B62&lt;&gt;"",$M62=TRUE(),$L62=FALSE(),$Q62=FALSE()),COUNTIFS($M$3:$M62,TRUE(),$L$3:$L62,FALSE(),$Q$3:$Q62,FALSE()),"")</f>
        <v/>
      </c>
      <c r="T62" s="32" t="str">
        <f aca="false">IF($B62="","",IF($Q62=TRUE(),"U1",IF($L62=TRUE(),"S1",IF($M62=TRUE(),"D"&amp;MIN(4,INT(($S62-1)/DisplayCapacity)+1),IF($N62=TRUE(),"K1",IF($O62=TRUE(),"P1",IF($P62=TRUE(),"U1",IF($R62=TRUE(),"U1","W"))))))))</f>
        <v>S1</v>
      </c>
      <c r="U62" s="32" t="str">
        <f aca="false">IF($T62="","",$T62&amp;"-"&amp;COUNTIF($T$3:T62,$T62))</f>
        <v>S1-13</v>
      </c>
      <c r="V62" s="32" t="str">
        <f aca="false">IF($B62="","",_xlfn.TEXTJOIN(" | ",TRUE(),IF($Q62=TRUE(),"Empty box - no physical device, verify status",""),IF(AND($P62=TRUE(),$L62=FALSE(),$M62=FALSE(),$N62=FALSE(),$O62=FALSE(),$Q62=FALSE()),"Speaker fault only - needs manual box assignment",""),IF(AND($R62=TRUE(),$L62=FALSE(),$M62=FALSE(),$N62=FALSE(),$O62=FALSE(),$P62=FALSE(),$Q62=FALSE()),"No fault detail given - needs technician inspection",""),IF(AND(COUNTIF($F$3:$F$252,$F62)&gt;1,LOWER(TRIM($F62))&lt;&gt;"empty"),"Duplicate Serial No - verify device identity",""),IF((--$L62+--$M62+--$N62+--$O62+--$P62)&gt;1,"Multiple fault types detected - review full details before repair","")))</f>
        <v>Multiple fault types detected - review full details before repair</v>
      </c>
      <c r="W62" s="32" t="n">
        <v>0</v>
      </c>
      <c r="X62" s="32"/>
    </row>
    <row r="63" customFormat="false" ht="15" hidden="false" customHeight="true" outlineLevel="0" collapsed="false">
      <c r="A63" s="26" t="n">
        <v>61</v>
      </c>
      <c r="B63" s="30" t="n">
        <v>46244.4948739468</v>
      </c>
      <c r="C63" s="26" t="s">
        <v>90</v>
      </c>
      <c r="D63" s="26" t="str">
        <f aca="false">IF($B63="","",IFERROR(VLOOKUP(TRIM($C63),ModelMap,2,FALSE()),TRIM($C63)))</f>
        <v>X628</v>
      </c>
      <c r="E63" s="26" t="s">
        <v>268</v>
      </c>
      <c r="F63" s="26" t="s">
        <v>269</v>
      </c>
      <c r="G63" s="26" t="s">
        <v>150</v>
      </c>
      <c r="H63" s="26" t="s">
        <v>156</v>
      </c>
      <c r="I63" s="26"/>
      <c r="J63" s="26" t="s">
        <v>133</v>
      </c>
      <c r="K63" s="26" t="str">
        <f aca="false">IF($B63="","",LOWER(TRIM($G63)&amp;" | "&amp;TRIM($H63)&amp;" | "&amp;TRIM($I63)))</f>
        <v>working, have to repair | no sensor and also have power issue some time device is off automatically | </v>
      </c>
      <c r="L63" s="31" t="b">
        <f aca="false">IF($B63="","",SUMPRODUCT(--ISNUMBER(SEARCH(SensorKW,$K63)))&gt;0)</f>
        <v>1</v>
      </c>
      <c r="M63" s="31" t="b">
        <f aca="false">IF($B63="","",SUMPRODUCT(--ISNUMBER(SEARCH(DisplayKW,$K63)))&gt;0)</f>
        <v>0</v>
      </c>
      <c r="N63" s="31" t="b">
        <f aca="false">IF($B63="","",SUMPRODUCT(--ISNUMBER(SEARCH(KeypadKW,$K63)))&gt;0)</f>
        <v>0</v>
      </c>
      <c r="O63" s="31" t="b">
        <f aca="false">IF($B63="","",SUMPRODUCT(--ISNUMBER(SEARCH(PowerKW,$K63)))&gt;0)</f>
        <v>1</v>
      </c>
      <c r="P63" s="31" t="b">
        <f aca="false">IF($B63="","",SUMPRODUCT(--ISNUMBER(SEARCH(SpeakerKW,$K63)))&gt;0)</f>
        <v>0</v>
      </c>
      <c r="Q63" s="31" t="b">
        <f aca="false">IF($B63="","",OR(SUMPRODUCT(--ISNUMBER(SEARCH(EmptyKW,$K63)))&gt;0,LOWER(TRIM($F63))="empty"))</f>
        <v>0</v>
      </c>
      <c r="R63" s="31" t="b">
        <f aca="false">IF($B63="","",OR(ISNUMBER(SEARCH("repair",$G63)),ISNUMBER(SEARCH("not working",$G63))))</f>
        <v>1</v>
      </c>
      <c r="S63" s="26" t="str">
        <f aca="false">IF(AND($B63&lt;&gt;"",$M63=TRUE(),$L63=FALSE(),$Q63=FALSE()),COUNTIFS($M$3:$M63,TRUE(),$L$3:$L63,FALSE(),$Q$3:$Q63,FALSE()),"")</f>
        <v/>
      </c>
      <c r="T63" s="26" t="str">
        <f aca="false">IF($B63="","",IF($Q63=TRUE(),"U1",IF($L63=TRUE(),"S1",IF($M63=TRUE(),"D"&amp;MIN(4,INT(($S63-1)/DisplayCapacity)+1),IF($N63=TRUE(),"K1",IF($O63=TRUE(),"P1",IF($P63=TRUE(),"U1",IF($R63=TRUE(),"U1","W"))))))))</f>
        <v>S1</v>
      </c>
      <c r="U63" s="26" t="str">
        <f aca="false">IF($T63="","",$T63&amp;"-"&amp;COUNTIF($T$3:T63,$T63))</f>
        <v>S1-14</v>
      </c>
      <c r="V63" s="26" t="str">
        <f aca="false">IF($B63="","",_xlfn.TEXTJOIN(" | ",TRUE(),IF($Q63=TRUE(),"Empty box - no physical device, verify status",""),IF(AND($P63=TRUE(),$L63=FALSE(),$M63=FALSE(),$N63=FALSE(),$O63=FALSE(),$Q63=FALSE()),"Speaker fault only - needs manual box assignment",""),IF(AND($R63=TRUE(),$L63=FALSE(),$M63=FALSE(),$N63=FALSE(),$O63=FALSE(),$P63=FALSE(),$Q63=FALSE()),"No fault detail given - needs technician inspection",""),IF(AND(COUNTIF($F$3:$F$252,$F63)&gt;1,LOWER(TRIM($F63))&lt;&gt;"empty"),"Duplicate Serial No - verify device identity",""),IF((--$L63+--$M63+--$N63+--$O63+--$P63)&gt;1,"Multiple fault types detected - review full details before repair","")))</f>
        <v>Multiple fault types detected - review full details before repair</v>
      </c>
      <c r="W63" s="26" t="n">
        <v>0</v>
      </c>
      <c r="X63" s="26"/>
    </row>
    <row r="64" customFormat="false" ht="15" hidden="false" customHeight="true" outlineLevel="0" collapsed="false">
      <c r="A64" s="32" t="n">
        <v>62</v>
      </c>
      <c r="B64" s="33" t="n">
        <v>46244.4988289468</v>
      </c>
      <c r="C64" s="32" t="s">
        <v>270</v>
      </c>
      <c r="D64" s="32" t="str">
        <f aca="false">IF($B64="","",IFERROR(VLOOKUP(TRIM($C64),ModelMap,2,FALSE()),TRIM($C64)))</f>
        <v>X628-C</v>
      </c>
      <c r="E64" s="32" t="s">
        <v>271</v>
      </c>
      <c r="F64" s="32" t="s">
        <v>272</v>
      </c>
      <c r="G64" s="32" t="s">
        <v>132</v>
      </c>
      <c r="H64" s="32"/>
      <c r="I64" s="32"/>
      <c r="J64" s="32" t="s">
        <v>133</v>
      </c>
      <c r="K64" s="32" t="str">
        <f aca="false">IF($B64="","",LOWER(TRIM($G64)&amp;" | "&amp;TRIM($H64)&amp;" | "&amp;TRIM($I64)))</f>
        <v>working |  | </v>
      </c>
      <c r="L64" s="34" t="b">
        <f aca="false">IF($B64="","",SUMPRODUCT(--ISNUMBER(SEARCH(SensorKW,$K64)))&gt;0)</f>
        <v>0</v>
      </c>
      <c r="M64" s="34" t="b">
        <f aca="false">IF($B64="","",SUMPRODUCT(--ISNUMBER(SEARCH(DisplayKW,$K64)))&gt;0)</f>
        <v>0</v>
      </c>
      <c r="N64" s="34" t="b">
        <f aca="false">IF($B64="","",SUMPRODUCT(--ISNUMBER(SEARCH(KeypadKW,$K64)))&gt;0)</f>
        <v>0</v>
      </c>
      <c r="O64" s="34" t="b">
        <f aca="false">IF($B64="","",SUMPRODUCT(--ISNUMBER(SEARCH(PowerKW,$K64)))&gt;0)</f>
        <v>0</v>
      </c>
      <c r="P64" s="34" t="b">
        <f aca="false">IF($B64="","",SUMPRODUCT(--ISNUMBER(SEARCH(SpeakerKW,$K64)))&gt;0)</f>
        <v>0</v>
      </c>
      <c r="Q64" s="34" t="b">
        <f aca="false">IF($B64="","",OR(SUMPRODUCT(--ISNUMBER(SEARCH(EmptyKW,$K64)))&gt;0,LOWER(TRIM($F64))="empty"))</f>
        <v>0</v>
      </c>
      <c r="R64" s="34" t="b">
        <f aca="false">IF($B64="","",OR(ISNUMBER(SEARCH("repair",$G64)),ISNUMBER(SEARCH("not working",$G64))))</f>
        <v>0</v>
      </c>
      <c r="S64" s="32" t="str">
        <f aca="false">IF(AND($B64&lt;&gt;"",$M64=TRUE(),$L64=FALSE(),$Q64=FALSE()),COUNTIFS($M$3:$M64,TRUE(),$L$3:$L64,FALSE(),$Q$3:$Q64,FALSE()),"")</f>
        <v/>
      </c>
      <c r="T64" s="32" t="str">
        <f aca="false">IF($B64="","",IF($Q64=TRUE(),"U1",IF($L64=TRUE(),"S1",IF($M64=TRUE(),"D"&amp;MIN(4,INT(($S64-1)/DisplayCapacity)+1),IF($N64=TRUE(),"K1",IF($O64=TRUE(),"P1",IF($P64=TRUE(),"U1",IF($R64=TRUE(),"U1","W"))))))))</f>
        <v>W</v>
      </c>
      <c r="U64" s="32" t="str">
        <f aca="false">IF($T64="","",$T64&amp;"-"&amp;COUNTIF($T$3:T64,$T64))</f>
        <v>W-35</v>
      </c>
      <c r="V64" s="32" t="str">
        <f aca="false">IF($B64="","",_xlfn.TEXTJOIN(" | ",TRUE(),IF($Q64=TRUE(),"Empty box - no physical device, verify status",""),IF(AND($P64=TRUE(),$L64=FALSE(),$M64=FALSE(),$N64=FALSE(),$O64=FALSE(),$Q64=FALSE()),"Speaker fault only - needs manual box assignment",""),IF(AND($R64=TRUE(),$L64=FALSE(),$M64=FALSE(),$N64=FALSE(),$O64=FALSE(),$P64=FALSE(),$Q64=FALSE()),"No fault detail given - needs technician inspection",""),IF(AND(COUNTIF($F$3:$F$252,$F64)&gt;1,LOWER(TRIM($F64))&lt;&gt;"empty"),"Duplicate Serial No - verify device identity",""),IF((--$L64+--$M64+--$N64+--$O64+--$P64)&gt;1,"Multiple fault types detected - review full details before repair","")))</f>
        <v/>
      </c>
      <c r="W64" s="32" t="n">
        <v>0</v>
      </c>
      <c r="X64" s="32"/>
    </row>
    <row r="65" customFormat="false" ht="15" hidden="false" customHeight="true" outlineLevel="0" collapsed="false">
      <c r="A65" s="26" t="n">
        <v>63</v>
      </c>
      <c r="B65" s="30" t="n">
        <v>46244.5022807292</v>
      </c>
      <c r="C65" s="26" t="s">
        <v>90</v>
      </c>
      <c r="D65" s="26" t="str">
        <f aca="false">IF($B65="","",IFERROR(VLOOKUP(TRIM($C65),ModelMap,2,FALSE()),TRIM($C65)))</f>
        <v>X628</v>
      </c>
      <c r="E65" s="26" t="s">
        <v>273</v>
      </c>
      <c r="F65" s="26" t="s">
        <v>274</v>
      </c>
      <c r="G65" s="26" t="s">
        <v>132</v>
      </c>
      <c r="H65" s="26"/>
      <c r="I65" s="26"/>
      <c r="J65" s="26" t="s">
        <v>129</v>
      </c>
      <c r="K65" s="26" t="str">
        <f aca="false">IF($B65="","",LOWER(TRIM($G65)&amp;" | "&amp;TRIM($H65)&amp;" | "&amp;TRIM($I65)))</f>
        <v>working |  | </v>
      </c>
      <c r="L65" s="31" t="b">
        <f aca="false">IF($B65="","",SUMPRODUCT(--ISNUMBER(SEARCH(SensorKW,$K65)))&gt;0)</f>
        <v>0</v>
      </c>
      <c r="M65" s="31" t="b">
        <f aca="false">IF($B65="","",SUMPRODUCT(--ISNUMBER(SEARCH(DisplayKW,$K65)))&gt;0)</f>
        <v>0</v>
      </c>
      <c r="N65" s="31" t="b">
        <f aca="false">IF($B65="","",SUMPRODUCT(--ISNUMBER(SEARCH(KeypadKW,$K65)))&gt;0)</f>
        <v>0</v>
      </c>
      <c r="O65" s="31" t="b">
        <f aca="false">IF($B65="","",SUMPRODUCT(--ISNUMBER(SEARCH(PowerKW,$K65)))&gt;0)</f>
        <v>0</v>
      </c>
      <c r="P65" s="31" t="b">
        <f aca="false">IF($B65="","",SUMPRODUCT(--ISNUMBER(SEARCH(SpeakerKW,$K65)))&gt;0)</f>
        <v>0</v>
      </c>
      <c r="Q65" s="31" t="b">
        <f aca="false">IF($B65="","",OR(SUMPRODUCT(--ISNUMBER(SEARCH(EmptyKW,$K65)))&gt;0,LOWER(TRIM($F65))="empty"))</f>
        <v>0</v>
      </c>
      <c r="R65" s="31" t="b">
        <f aca="false">IF($B65="","",OR(ISNUMBER(SEARCH("repair",$G65)),ISNUMBER(SEARCH("not working",$G65))))</f>
        <v>0</v>
      </c>
      <c r="S65" s="26" t="str">
        <f aca="false">IF(AND($B65&lt;&gt;"",$M65=TRUE(),$L65=FALSE(),$Q65=FALSE()),COUNTIFS($M$3:$M65,TRUE(),$L$3:$L65,FALSE(),$Q$3:$Q65,FALSE()),"")</f>
        <v/>
      </c>
      <c r="T65" s="26" t="str">
        <f aca="false">IF($B65="","",IF($Q65=TRUE(),"U1",IF($L65=TRUE(),"S1",IF($M65=TRUE(),"D"&amp;MIN(4,INT(($S65-1)/DisplayCapacity)+1),IF($N65=TRUE(),"K1",IF($O65=TRUE(),"P1",IF($P65=TRUE(),"U1",IF($R65=TRUE(),"U1","W"))))))))</f>
        <v>W</v>
      </c>
      <c r="U65" s="26" t="str">
        <f aca="false">IF($T65="","",$T65&amp;"-"&amp;COUNTIF($T$3:T65,$T65))</f>
        <v>W-36</v>
      </c>
      <c r="V65" s="26" t="str">
        <f aca="false">IF($B65="","",_xlfn.TEXTJOIN(" | ",TRUE(),IF($Q65=TRUE(),"Empty box - no physical device, verify status",""),IF(AND($P65=TRUE(),$L65=FALSE(),$M65=FALSE(),$N65=FALSE(),$O65=FALSE(),$Q65=FALSE()),"Speaker fault only - needs manual box assignment",""),IF(AND($R65=TRUE(),$L65=FALSE(),$M65=FALSE(),$N65=FALSE(),$O65=FALSE(),$P65=FALSE(),$Q65=FALSE()),"No fault detail given - needs technician inspection",""),IF(AND(COUNTIF($F$3:$F$252,$F65)&gt;1,LOWER(TRIM($F65))&lt;&gt;"empty"),"Duplicate Serial No - verify device identity",""),IF((--$L65+--$M65+--$N65+--$O65+--$P65)&gt;1,"Multiple fault types detected - review full details before repair","")))</f>
        <v/>
      </c>
      <c r="W65" s="26" t="n">
        <v>0</v>
      </c>
      <c r="X65" s="26"/>
    </row>
    <row r="66" customFormat="false" ht="15" hidden="false" customHeight="true" outlineLevel="0" collapsed="false">
      <c r="A66" s="32" t="n">
        <v>64</v>
      </c>
      <c r="B66" s="33" t="n">
        <v>46244.5064656134</v>
      </c>
      <c r="C66" s="32" t="s">
        <v>90</v>
      </c>
      <c r="D66" s="32" t="str">
        <f aca="false">IF($B66="","",IFERROR(VLOOKUP(TRIM($C66),ModelMap,2,FALSE()),TRIM($C66)))</f>
        <v>X628</v>
      </c>
      <c r="E66" s="32" t="s">
        <v>275</v>
      </c>
      <c r="F66" s="32" t="s">
        <v>276</v>
      </c>
      <c r="G66" s="32" t="s">
        <v>132</v>
      </c>
      <c r="H66" s="32"/>
      <c r="I66" s="32" t="s">
        <v>164</v>
      </c>
      <c r="J66" s="32" t="s">
        <v>129</v>
      </c>
      <c r="K66" s="32" t="str">
        <f aca="false">IF($B66="","",LOWER(TRIM($G66)&amp;" | "&amp;TRIM($H66)&amp;" | "&amp;TRIM($I66)))</f>
        <v>working |  | display is not clear</v>
      </c>
      <c r="L66" s="34" t="b">
        <f aca="false">IF($B66="","",SUMPRODUCT(--ISNUMBER(SEARCH(SensorKW,$K66)))&gt;0)</f>
        <v>0</v>
      </c>
      <c r="M66" s="34" t="b">
        <f aca="false">IF($B66="","",SUMPRODUCT(--ISNUMBER(SEARCH(DisplayKW,$K66)))&gt;0)</f>
        <v>1</v>
      </c>
      <c r="N66" s="34" t="b">
        <f aca="false">IF($B66="","",SUMPRODUCT(--ISNUMBER(SEARCH(KeypadKW,$K66)))&gt;0)</f>
        <v>0</v>
      </c>
      <c r="O66" s="34" t="b">
        <f aca="false">IF($B66="","",SUMPRODUCT(--ISNUMBER(SEARCH(PowerKW,$K66)))&gt;0)</f>
        <v>0</v>
      </c>
      <c r="P66" s="34" t="b">
        <f aca="false">IF($B66="","",SUMPRODUCT(--ISNUMBER(SEARCH(SpeakerKW,$K66)))&gt;0)</f>
        <v>0</v>
      </c>
      <c r="Q66" s="34" t="b">
        <f aca="false">IF($B66="","",OR(SUMPRODUCT(--ISNUMBER(SEARCH(EmptyKW,$K66)))&gt;0,LOWER(TRIM($F66))="empty"))</f>
        <v>0</v>
      </c>
      <c r="R66" s="34" t="b">
        <f aca="false">IF($B66="","",OR(ISNUMBER(SEARCH("repair",$G66)),ISNUMBER(SEARCH("not working",$G66))))</f>
        <v>0</v>
      </c>
      <c r="S66" s="32" t="n">
        <f aca="false">IF(AND($B66&lt;&gt;"",$M66=TRUE(),$L66=FALSE(),$Q66=FALSE()),COUNTIFS($M$3:$M66,TRUE(),$L$3:$L66,FALSE(),$Q$3:$Q66,FALSE()),"")</f>
        <v>7</v>
      </c>
      <c r="T66" s="32" t="str">
        <f aca="false">IF($B66="","",IF($Q66=TRUE(),"U1",IF($L66=TRUE(),"S1",IF($M66=TRUE(),"D"&amp;MIN(4,INT(($S66-1)/DisplayCapacity)+1),IF($N66=TRUE(),"K1",IF($O66=TRUE(),"P1",IF($P66=TRUE(),"U1",IF($R66=TRUE(),"U1","W"))))))))</f>
        <v>D1</v>
      </c>
      <c r="U66" s="32" t="str">
        <f aca="false">IF($T66="","",$T66&amp;"-"&amp;COUNTIF($T$3:T66,$T66))</f>
        <v>D1-7</v>
      </c>
      <c r="V66" s="32" t="str">
        <f aca="false">IF($B66="","",_xlfn.TEXTJOIN(" | ",TRUE(),IF($Q66=TRUE(),"Empty box - no physical device, verify status",""),IF(AND($P66=TRUE(),$L66=FALSE(),$M66=FALSE(),$N66=FALSE(),$O66=FALSE(),$Q66=FALSE()),"Speaker fault only - needs manual box assignment",""),IF(AND($R66=TRUE(),$L66=FALSE(),$M66=FALSE(),$N66=FALSE(),$O66=FALSE(),$P66=FALSE(),$Q66=FALSE()),"No fault detail given - needs technician inspection",""),IF(AND(COUNTIF($F$3:$F$252,$F66)&gt;1,LOWER(TRIM($F66))&lt;&gt;"empty"),"Duplicate Serial No - verify device identity",""),IF((--$L66+--$M66+--$N66+--$O66+--$P66)&gt;1,"Multiple fault types detected - review full details before repair","")))</f>
        <v/>
      </c>
      <c r="W66" s="32" t="n">
        <v>0</v>
      </c>
      <c r="X66" s="32"/>
    </row>
    <row r="67" customFormat="false" ht="15" hidden="false" customHeight="true" outlineLevel="0" collapsed="false">
      <c r="A67" s="26" t="n">
        <v>65</v>
      </c>
      <c r="B67" s="30" t="n">
        <v>46244.5083067477</v>
      </c>
      <c r="C67" s="26" t="s">
        <v>93</v>
      </c>
      <c r="D67" s="26" t="str">
        <f aca="false">IF($B67="","",IFERROR(VLOOKUP(TRIM($C67),ModelMap,2,FALSE()),TRIM($C67)))</f>
        <v>X628-C</v>
      </c>
      <c r="E67" s="26" t="s">
        <v>277</v>
      </c>
      <c r="F67" s="26" t="s">
        <v>278</v>
      </c>
      <c r="G67" s="26" t="s">
        <v>279</v>
      </c>
      <c r="H67" s="26" t="s">
        <v>280</v>
      </c>
      <c r="I67" s="26" t="s">
        <v>281</v>
      </c>
      <c r="J67" s="26" t="s">
        <v>133</v>
      </c>
      <c r="K67" s="26" t="str">
        <f aca="false">IF($B67="","",LOWER(TRIM($G67)&amp;" | "&amp;TRIM($H67)&amp;" | "&amp;TRIM($I67)))</f>
        <v>not working, have to repair | no finger print scanner | have power issue also automatically turn off</v>
      </c>
      <c r="L67" s="31" t="b">
        <f aca="false">IF($B67="","",SUMPRODUCT(--ISNUMBER(SEARCH(SensorKW,$K67)))&gt;0)</f>
        <v>1</v>
      </c>
      <c r="M67" s="31" t="b">
        <f aca="false">IF($B67="","",SUMPRODUCT(--ISNUMBER(SEARCH(DisplayKW,$K67)))&gt;0)</f>
        <v>0</v>
      </c>
      <c r="N67" s="31" t="b">
        <f aca="false">IF($B67="","",SUMPRODUCT(--ISNUMBER(SEARCH(KeypadKW,$K67)))&gt;0)</f>
        <v>0</v>
      </c>
      <c r="O67" s="31" t="b">
        <f aca="false">IF($B67="","",SUMPRODUCT(--ISNUMBER(SEARCH(PowerKW,$K67)))&gt;0)</f>
        <v>1</v>
      </c>
      <c r="P67" s="31" t="b">
        <f aca="false">IF($B67="","",SUMPRODUCT(--ISNUMBER(SEARCH(SpeakerKW,$K67)))&gt;0)</f>
        <v>0</v>
      </c>
      <c r="Q67" s="31" t="b">
        <f aca="false">IF($B67="","",OR(SUMPRODUCT(--ISNUMBER(SEARCH(EmptyKW,$K67)))&gt;0,LOWER(TRIM($F67))="empty"))</f>
        <v>0</v>
      </c>
      <c r="R67" s="31" t="b">
        <f aca="false">IF($B67="","",OR(ISNUMBER(SEARCH("repair",$G67)),ISNUMBER(SEARCH("not working",$G67))))</f>
        <v>1</v>
      </c>
      <c r="S67" s="26" t="str">
        <f aca="false">IF(AND($B67&lt;&gt;"",$M67=TRUE(),$L67=FALSE(),$Q67=FALSE()),COUNTIFS($M$3:$M67,TRUE(),$L$3:$L67,FALSE(),$Q$3:$Q67,FALSE()),"")</f>
        <v/>
      </c>
      <c r="T67" s="26" t="str">
        <f aca="false">IF($B67="","",IF($Q67=TRUE(),"U1",IF($L67=TRUE(),"S1",IF($M67=TRUE(),"D"&amp;MIN(4,INT(($S67-1)/DisplayCapacity)+1),IF($N67=TRUE(),"K1",IF($O67=TRUE(),"P1",IF($P67=TRUE(),"U1",IF($R67=TRUE(),"U1","W"))))))))</f>
        <v>S1</v>
      </c>
      <c r="U67" s="26" t="str">
        <f aca="false">IF($T67="","",$T67&amp;"-"&amp;COUNTIF($T$3:T67,$T67))</f>
        <v>S1-15</v>
      </c>
      <c r="V67" s="26" t="str">
        <f aca="false">IF($B67="","",_xlfn.TEXTJOIN(" | ",TRUE(),IF($Q67=TRUE(),"Empty box - no physical device, verify status",""),IF(AND($P67=TRUE(),$L67=FALSE(),$M67=FALSE(),$N67=FALSE(),$O67=FALSE(),$Q67=FALSE()),"Speaker fault only - needs manual box assignment",""),IF(AND($R67=TRUE(),$L67=FALSE(),$M67=FALSE(),$N67=FALSE(),$O67=FALSE(),$P67=FALSE(),$Q67=FALSE()),"No fault detail given - needs technician inspection",""),IF(AND(COUNTIF($F$3:$F$252,$F67)&gt;1,LOWER(TRIM($F67))&lt;&gt;"empty"),"Duplicate Serial No - verify device identity",""),IF((--$L67+--$M67+--$N67+--$O67+--$P67)&gt;1,"Multiple fault types detected - review full details before repair","")))</f>
        <v>Multiple fault types detected - review full details before repair</v>
      </c>
      <c r="W67" s="26" t="n">
        <v>0</v>
      </c>
      <c r="X67" s="26"/>
    </row>
    <row r="68" customFormat="false" ht="15" hidden="false" customHeight="true" outlineLevel="0" collapsed="false">
      <c r="A68" s="32" t="n">
        <v>66</v>
      </c>
      <c r="B68" s="33" t="n">
        <v>46244.5321521412</v>
      </c>
      <c r="C68" s="32" t="s">
        <v>90</v>
      </c>
      <c r="D68" s="32" t="str">
        <f aca="false">IF($B68="","",IFERROR(VLOOKUP(TRIM($C68),ModelMap,2,FALSE()),TRIM($C68)))</f>
        <v>X628</v>
      </c>
      <c r="E68" s="32" t="s">
        <v>282</v>
      </c>
      <c r="F68" s="32" t="s">
        <v>283</v>
      </c>
      <c r="G68" s="32" t="s">
        <v>150</v>
      </c>
      <c r="H68" s="32" t="s">
        <v>230</v>
      </c>
      <c r="I68" s="32"/>
      <c r="J68" s="32" t="s">
        <v>129</v>
      </c>
      <c r="K68" s="32" t="str">
        <f aca="false">IF($B68="","",LOWER(TRIM($G68)&amp;" | "&amp;TRIM($H68)&amp;" | "&amp;TRIM($I68)))</f>
        <v>working, have to repair | sensor is not working | </v>
      </c>
      <c r="L68" s="34" t="b">
        <f aca="false">IF($B68="","",SUMPRODUCT(--ISNUMBER(SEARCH(SensorKW,$K68)))&gt;0)</f>
        <v>1</v>
      </c>
      <c r="M68" s="34" t="b">
        <f aca="false">IF($B68="","",SUMPRODUCT(--ISNUMBER(SEARCH(DisplayKW,$K68)))&gt;0)</f>
        <v>0</v>
      </c>
      <c r="N68" s="34" t="b">
        <f aca="false">IF($B68="","",SUMPRODUCT(--ISNUMBER(SEARCH(KeypadKW,$K68)))&gt;0)</f>
        <v>0</v>
      </c>
      <c r="O68" s="34" t="b">
        <f aca="false">IF($B68="","",SUMPRODUCT(--ISNUMBER(SEARCH(PowerKW,$K68)))&gt;0)</f>
        <v>0</v>
      </c>
      <c r="P68" s="34" t="b">
        <f aca="false">IF($B68="","",SUMPRODUCT(--ISNUMBER(SEARCH(SpeakerKW,$K68)))&gt;0)</f>
        <v>0</v>
      </c>
      <c r="Q68" s="34" t="b">
        <f aca="false">IF($B68="","",OR(SUMPRODUCT(--ISNUMBER(SEARCH(EmptyKW,$K68)))&gt;0,LOWER(TRIM($F68))="empty"))</f>
        <v>0</v>
      </c>
      <c r="R68" s="34" t="b">
        <f aca="false">IF($B68="","",OR(ISNUMBER(SEARCH("repair",$G68)),ISNUMBER(SEARCH("not working",$G68))))</f>
        <v>1</v>
      </c>
      <c r="S68" s="32" t="str">
        <f aca="false">IF(AND($B68&lt;&gt;"",$M68=TRUE(),$L68=FALSE(),$Q68=FALSE()),COUNTIFS($M$3:$M68,TRUE(),$L$3:$L68,FALSE(),$Q$3:$Q68,FALSE()),"")</f>
        <v/>
      </c>
      <c r="T68" s="32" t="str">
        <f aca="false">IF($B68="","",IF($Q68=TRUE(),"U1",IF($L68=TRUE(),"S1",IF($M68=TRUE(),"D"&amp;MIN(4,INT(($S68-1)/DisplayCapacity)+1),IF($N68=TRUE(),"K1",IF($O68=TRUE(),"P1",IF($P68=TRUE(),"U1",IF($R68=TRUE(),"U1","W"))))))))</f>
        <v>S1</v>
      </c>
      <c r="U68" s="32" t="str">
        <f aca="false">IF($T68="","",$T68&amp;"-"&amp;COUNTIF($T$3:T68,$T68))</f>
        <v>S1-16</v>
      </c>
      <c r="V68" s="32" t="str">
        <f aca="false">IF($B68="","",_xlfn.TEXTJOIN(" | ",TRUE(),IF($Q68=TRUE(),"Empty box - no physical device, verify status",""),IF(AND($P68=TRUE(),$L68=FALSE(),$M68=FALSE(),$N68=FALSE(),$O68=FALSE(),$Q68=FALSE()),"Speaker fault only - needs manual box assignment",""),IF(AND($R68=TRUE(),$L68=FALSE(),$M68=FALSE(),$N68=FALSE(),$O68=FALSE(),$P68=FALSE(),$Q68=FALSE()),"No fault detail given - needs technician inspection",""),IF(AND(COUNTIF($F$3:$F$252,$F68)&gt;1,LOWER(TRIM($F68))&lt;&gt;"empty"),"Duplicate Serial No - verify device identity",""),IF((--$L68+--$M68+--$N68+--$O68+--$P68)&gt;1,"Multiple fault types detected - review full details before repair","")))</f>
        <v/>
      </c>
      <c r="W68" s="32" t="n">
        <v>0</v>
      </c>
      <c r="X68" s="32"/>
    </row>
    <row r="69" customFormat="false" ht="15" hidden="false" customHeight="true" outlineLevel="0" collapsed="false">
      <c r="A69" s="26" t="n">
        <v>67</v>
      </c>
      <c r="B69" s="30" t="n">
        <v>46244.593203669</v>
      </c>
      <c r="C69" s="26" t="s">
        <v>90</v>
      </c>
      <c r="D69" s="26" t="str">
        <f aca="false">IF($B69="","",IFERROR(VLOOKUP(TRIM($C69),ModelMap,2,FALSE()),TRIM($C69)))</f>
        <v>X628</v>
      </c>
      <c r="E69" s="26" t="s">
        <v>284</v>
      </c>
      <c r="F69" s="26" t="s">
        <v>285</v>
      </c>
      <c r="G69" s="26" t="s">
        <v>132</v>
      </c>
      <c r="H69" s="26"/>
      <c r="I69" s="26" t="s">
        <v>286</v>
      </c>
      <c r="J69" s="26" t="s">
        <v>129</v>
      </c>
      <c r="K69" s="26" t="str">
        <f aca="false">IF($B69="","",LOWER(TRIM($G69)&amp;" | "&amp;TRIM($H69)&amp;" | "&amp;TRIM($I69)))</f>
        <v>working |  | display is little bit unclear</v>
      </c>
      <c r="L69" s="31" t="b">
        <f aca="false">IF($B69="","",SUMPRODUCT(--ISNUMBER(SEARCH(SensorKW,$K69)))&gt;0)</f>
        <v>0</v>
      </c>
      <c r="M69" s="31" t="b">
        <f aca="false">IF($B69="","",SUMPRODUCT(--ISNUMBER(SEARCH(DisplayKW,$K69)))&gt;0)</f>
        <v>1</v>
      </c>
      <c r="N69" s="31" t="b">
        <f aca="false">IF($B69="","",SUMPRODUCT(--ISNUMBER(SEARCH(KeypadKW,$K69)))&gt;0)</f>
        <v>0</v>
      </c>
      <c r="O69" s="31" t="b">
        <f aca="false">IF($B69="","",SUMPRODUCT(--ISNUMBER(SEARCH(PowerKW,$K69)))&gt;0)</f>
        <v>0</v>
      </c>
      <c r="P69" s="31" t="b">
        <f aca="false">IF($B69="","",SUMPRODUCT(--ISNUMBER(SEARCH(SpeakerKW,$K69)))&gt;0)</f>
        <v>0</v>
      </c>
      <c r="Q69" s="31" t="b">
        <f aca="false">IF($B69="","",OR(SUMPRODUCT(--ISNUMBER(SEARCH(EmptyKW,$K69)))&gt;0,LOWER(TRIM($F69))="empty"))</f>
        <v>0</v>
      </c>
      <c r="R69" s="31" t="b">
        <f aca="false">IF($B69="","",OR(ISNUMBER(SEARCH("repair",$G69)),ISNUMBER(SEARCH("not working",$G69))))</f>
        <v>0</v>
      </c>
      <c r="S69" s="26" t="n">
        <f aca="false">IF(AND($B69&lt;&gt;"",$M69=TRUE(),$L69=FALSE(),$Q69=FALSE()),COUNTIFS($M$3:$M69,TRUE(),$L$3:$L69,FALSE(),$Q$3:$Q69,FALSE()),"")</f>
        <v>8</v>
      </c>
      <c r="T69" s="26" t="str">
        <f aca="false">IF($B69="","",IF($Q69=TRUE(),"U1",IF($L69=TRUE(),"S1",IF($M69=TRUE(),"D"&amp;MIN(4,INT(($S69-1)/DisplayCapacity)+1),IF($N69=TRUE(),"K1",IF($O69=TRUE(),"P1",IF($P69=TRUE(),"U1",IF($R69=TRUE(),"U1","W"))))))))</f>
        <v>D2</v>
      </c>
      <c r="U69" s="26" t="str">
        <f aca="false">IF($T69="","",$T69&amp;"-"&amp;COUNTIF($T$3:T69,$T69))</f>
        <v>D2-1</v>
      </c>
      <c r="V69" s="26" t="str">
        <f aca="false">IF($B69="","",_xlfn.TEXTJOIN(" | ",TRUE(),IF($Q69=TRUE(),"Empty box - no physical device, verify status",""),IF(AND($P69=TRUE(),$L69=FALSE(),$M69=FALSE(),$N69=FALSE(),$O69=FALSE(),$Q69=FALSE()),"Speaker fault only - needs manual box assignment",""),IF(AND($R69=TRUE(),$L69=FALSE(),$M69=FALSE(),$N69=FALSE(),$O69=FALSE(),$P69=FALSE(),$Q69=FALSE()),"No fault detail given - needs technician inspection",""),IF(AND(COUNTIF($F$3:$F$252,$F69)&gt;1,LOWER(TRIM($F69))&lt;&gt;"empty"),"Duplicate Serial No - verify device identity",""),IF((--$L69+--$M69+--$N69+--$O69+--$P69)&gt;1,"Multiple fault types detected - review full details before repair","")))</f>
        <v/>
      </c>
      <c r="W69" s="26" t="n">
        <v>0</v>
      </c>
      <c r="X69" s="26"/>
    </row>
    <row r="70" customFormat="false" ht="15" hidden="false" customHeight="true" outlineLevel="0" collapsed="false">
      <c r="A70" s="32" t="n">
        <v>68</v>
      </c>
      <c r="B70" s="33" t="n">
        <v>46244.5938045255</v>
      </c>
      <c r="C70" s="32" t="s">
        <v>90</v>
      </c>
      <c r="D70" s="32" t="str">
        <f aca="false">IF($B70="","",IFERROR(VLOOKUP(TRIM($C70),ModelMap,2,FALSE()),TRIM($C70)))</f>
        <v>X628</v>
      </c>
      <c r="E70" s="32" t="s">
        <v>287</v>
      </c>
      <c r="F70" s="32" t="s">
        <v>288</v>
      </c>
      <c r="G70" s="32" t="s">
        <v>132</v>
      </c>
      <c r="H70" s="32"/>
      <c r="I70" s="32"/>
      <c r="J70" s="32" t="s">
        <v>129</v>
      </c>
      <c r="K70" s="32" t="str">
        <f aca="false">IF($B70="","",LOWER(TRIM($G70)&amp;" | "&amp;TRIM($H70)&amp;" | "&amp;TRIM($I70)))</f>
        <v>working |  | </v>
      </c>
      <c r="L70" s="34" t="b">
        <f aca="false">IF($B70="","",SUMPRODUCT(--ISNUMBER(SEARCH(SensorKW,$K70)))&gt;0)</f>
        <v>0</v>
      </c>
      <c r="M70" s="34" t="b">
        <f aca="false">IF($B70="","",SUMPRODUCT(--ISNUMBER(SEARCH(DisplayKW,$K70)))&gt;0)</f>
        <v>0</v>
      </c>
      <c r="N70" s="34" t="b">
        <f aca="false">IF($B70="","",SUMPRODUCT(--ISNUMBER(SEARCH(KeypadKW,$K70)))&gt;0)</f>
        <v>0</v>
      </c>
      <c r="O70" s="34" t="b">
        <f aca="false">IF($B70="","",SUMPRODUCT(--ISNUMBER(SEARCH(PowerKW,$K70)))&gt;0)</f>
        <v>0</v>
      </c>
      <c r="P70" s="34" t="b">
        <f aca="false">IF($B70="","",SUMPRODUCT(--ISNUMBER(SEARCH(SpeakerKW,$K70)))&gt;0)</f>
        <v>0</v>
      </c>
      <c r="Q70" s="34" t="b">
        <f aca="false">IF($B70="","",OR(SUMPRODUCT(--ISNUMBER(SEARCH(EmptyKW,$K70)))&gt;0,LOWER(TRIM($F70))="empty"))</f>
        <v>0</v>
      </c>
      <c r="R70" s="34" t="b">
        <f aca="false">IF($B70="","",OR(ISNUMBER(SEARCH("repair",$G70)),ISNUMBER(SEARCH("not working",$G70))))</f>
        <v>0</v>
      </c>
      <c r="S70" s="32" t="str">
        <f aca="false">IF(AND($B70&lt;&gt;"",$M70=TRUE(),$L70=FALSE(),$Q70=FALSE()),COUNTIFS($M$3:$M70,TRUE(),$L$3:$L70,FALSE(),$Q$3:$Q70,FALSE()),"")</f>
        <v/>
      </c>
      <c r="T70" s="32" t="str">
        <f aca="false">IF($B70="","",IF($Q70=TRUE(),"U1",IF($L70=TRUE(),"S1",IF($M70=TRUE(),"D"&amp;MIN(4,INT(($S70-1)/DisplayCapacity)+1),IF($N70=TRUE(),"K1",IF($O70=TRUE(),"P1",IF($P70=TRUE(),"U1",IF($R70=TRUE(),"U1","W"))))))))</f>
        <v>W</v>
      </c>
      <c r="U70" s="32" t="str">
        <f aca="false">IF($T70="","",$T70&amp;"-"&amp;COUNTIF($T$3:T70,$T70))</f>
        <v>W-37</v>
      </c>
      <c r="V70" s="32" t="str">
        <f aca="false">IF($B70="","",_xlfn.TEXTJOIN(" | ",TRUE(),IF($Q70=TRUE(),"Empty box - no physical device, verify status",""),IF(AND($P70=TRUE(),$L70=FALSE(),$M70=FALSE(),$N70=FALSE(),$O70=FALSE(),$Q70=FALSE()),"Speaker fault only - needs manual box assignment",""),IF(AND($R70=TRUE(),$L70=FALSE(),$M70=FALSE(),$N70=FALSE(),$O70=FALSE(),$P70=FALSE(),$Q70=FALSE()),"No fault detail given - needs technician inspection",""),IF(AND(COUNTIF($F$3:$F$252,$F70)&gt;1,LOWER(TRIM($F70))&lt;&gt;"empty"),"Duplicate Serial No - verify device identity",""),IF((--$L70+--$M70+--$N70+--$O70+--$P70)&gt;1,"Multiple fault types detected - review full details before repair","")))</f>
        <v/>
      </c>
      <c r="W70" s="32" t="n">
        <v>0</v>
      </c>
      <c r="X70" s="32"/>
    </row>
    <row r="71" customFormat="false" ht="15" hidden="false" customHeight="true" outlineLevel="0" collapsed="false">
      <c r="A71" s="26" t="n">
        <v>69</v>
      </c>
      <c r="B71" s="30" t="n">
        <v>46244.5965210995</v>
      </c>
      <c r="C71" s="26" t="s">
        <v>90</v>
      </c>
      <c r="D71" s="26" t="str">
        <f aca="false">IF($B71="","",IFERROR(VLOOKUP(TRIM($C71),ModelMap,2,FALSE()),TRIM($C71)))</f>
        <v>X628</v>
      </c>
      <c r="E71" s="26" t="s">
        <v>289</v>
      </c>
      <c r="F71" s="26" t="s">
        <v>290</v>
      </c>
      <c r="G71" s="26" t="s">
        <v>132</v>
      </c>
      <c r="H71" s="26"/>
      <c r="I71" s="26" t="s">
        <v>291</v>
      </c>
      <c r="J71" s="26" t="s">
        <v>129</v>
      </c>
      <c r="K71" s="26" t="str">
        <f aca="false">IF($B71="","",LOWER(TRIM($G71)&amp;" | "&amp;TRIM($H71)&amp;" | "&amp;TRIM($I71)))</f>
        <v>working |  | display is little bit unclear</v>
      </c>
      <c r="L71" s="31" t="b">
        <f aca="false">IF($B71="","",SUMPRODUCT(--ISNUMBER(SEARCH(SensorKW,$K71)))&gt;0)</f>
        <v>0</v>
      </c>
      <c r="M71" s="31" t="b">
        <f aca="false">IF($B71="","",SUMPRODUCT(--ISNUMBER(SEARCH(DisplayKW,$K71)))&gt;0)</f>
        <v>1</v>
      </c>
      <c r="N71" s="31" t="b">
        <f aca="false">IF($B71="","",SUMPRODUCT(--ISNUMBER(SEARCH(KeypadKW,$K71)))&gt;0)</f>
        <v>0</v>
      </c>
      <c r="O71" s="31" t="b">
        <f aca="false">IF($B71="","",SUMPRODUCT(--ISNUMBER(SEARCH(PowerKW,$K71)))&gt;0)</f>
        <v>0</v>
      </c>
      <c r="P71" s="31" t="b">
        <f aca="false">IF($B71="","",SUMPRODUCT(--ISNUMBER(SEARCH(SpeakerKW,$K71)))&gt;0)</f>
        <v>0</v>
      </c>
      <c r="Q71" s="31" t="b">
        <f aca="false">IF($B71="","",OR(SUMPRODUCT(--ISNUMBER(SEARCH(EmptyKW,$K71)))&gt;0,LOWER(TRIM($F71))="empty"))</f>
        <v>0</v>
      </c>
      <c r="R71" s="31" t="b">
        <f aca="false">IF($B71="","",OR(ISNUMBER(SEARCH("repair",$G71)),ISNUMBER(SEARCH("not working",$G71))))</f>
        <v>0</v>
      </c>
      <c r="S71" s="26" t="n">
        <f aca="false">IF(AND($B71&lt;&gt;"",$M71=TRUE(),$L71=FALSE(),$Q71=FALSE()),COUNTIFS($M$3:$M71,TRUE(),$L$3:$L71,FALSE(),$Q$3:$Q71,FALSE()),"")</f>
        <v>9</v>
      </c>
      <c r="T71" s="26" t="str">
        <f aca="false">IF($B71="","",IF($Q71=TRUE(),"U1",IF($L71=TRUE(),"S1",IF($M71=TRUE(),"D"&amp;MIN(4,INT(($S71-1)/DisplayCapacity)+1),IF($N71=TRUE(),"K1",IF($O71=TRUE(),"P1",IF($P71=TRUE(),"U1",IF($R71=TRUE(),"U1","W"))))))))</f>
        <v>D2</v>
      </c>
      <c r="U71" s="26" t="str">
        <f aca="false">IF($T71="","",$T71&amp;"-"&amp;COUNTIF($T$3:T71,$T71))</f>
        <v>D2-2</v>
      </c>
      <c r="V71" s="26" t="str">
        <f aca="false">IF($B71="","",_xlfn.TEXTJOIN(" | ",TRUE(),IF($Q71=TRUE(),"Empty box - no physical device, verify status",""),IF(AND($P71=TRUE(),$L71=FALSE(),$M71=FALSE(),$N71=FALSE(),$O71=FALSE(),$Q71=FALSE()),"Speaker fault only - needs manual box assignment",""),IF(AND($R71=TRUE(),$L71=FALSE(),$M71=FALSE(),$N71=FALSE(),$O71=FALSE(),$P71=FALSE(),$Q71=FALSE()),"No fault detail given - needs technician inspection",""),IF(AND(COUNTIF($F$3:$F$252,$F71)&gt;1,LOWER(TRIM($F71))&lt;&gt;"empty"),"Duplicate Serial No - verify device identity",""),IF((--$L71+--$M71+--$N71+--$O71+--$P71)&gt;1,"Multiple fault types detected - review full details before repair","")))</f>
        <v/>
      </c>
      <c r="W71" s="26" t="n">
        <v>0</v>
      </c>
      <c r="X71" s="26"/>
    </row>
    <row r="72" customFormat="false" ht="15" hidden="false" customHeight="true" outlineLevel="0" collapsed="false">
      <c r="A72" s="32" t="n">
        <v>70</v>
      </c>
      <c r="B72" s="33" t="n">
        <v>46244.5980851157</v>
      </c>
      <c r="C72" s="32" t="s">
        <v>90</v>
      </c>
      <c r="D72" s="32" t="str">
        <f aca="false">IF($B72="","",IFERROR(VLOOKUP(TRIM($C72),ModelMap,2,FALSE()),TRIM($C72)))</f>
        <v>X628</v>
      </c>
      <c r="E72" s="32" t="s">
        <v>292</v>
      </c>
      <c r="F72" s="32" t="s">
        <v>293</v>
      </c>
      <c r="G72" s="32" t="s">
        <v>132</v>
      </c>
      <c r="H72" s="32"/>
      <c r="I72" s="32"/>
      <c r="J72" s="32" t="s">
        <v>129</v>
      </c>
      <c r="K72" s="32" t="str">
        <f aca="false">IF($B72="","",LOWER(TRIM($G72)&amp;" | "&amp;TRIM($H72)&amp;" | "&amp;TRIM($I72)))</f>
        <v>working |  | </v>
      </c>
      <c r="L72" s="34" t="b">
        <f aca="false">IF($B72="","",SUMPRODUCT(--ISNUMBER(SEARCH(SensorKW,$K72)))&gt;0)</f>
        <v>0</v>
      </c>
      <c r="M72" s="34" t="b">
        <f aca="false">IF($B72="","",SUMPRODUCT(--ISNUMBER(SEARCH(DisplayKW,$K72)))&gt;0)</f>
        <v>0</v>
      </c>
      <c r="N72" s="34" t="b">
        <f aca="false">IF($B72="","",SUMPRODUCT(--ISNUMBER(SEARCH(KeypadKW,$K72)))&gt;0)</f>
        <v>0</v>
      </c>
      <c r="O72" s="34" t="b">
        <f aca="false">IF($B72="","",SUMPRODUCT(--ISNUMBER(SEARCH(PowerKW,$K72)))&gt;0)</f>
        <v>0</v>
      </c>
      <c r="P72" s="34" t="b">
        <f aca="false">IF($B72="","",SUMPRODUCT(--ISNUMBER(SEARCH(SpeakerKW,$K72)))&gt;0)</f>
        <v>0</v>
      </c>
      <c r="Q72" s="34" t="b">
        <f aca="false">IF($B72="","",OR(SUMPRODUCT(--ISNUMBER(SEARCH(EmptyKW,$K72)))&gt;0,LOWER(TRIM($F72))="empty"))</f>
        <v>0</v>
      </c>
      <c r="R72" s="34" t="b">
        <f aca="false">IF($B72="","",OR(ISNUMBER(SEARCH("repair",$G72)),ISNUMBER(SEARCH("not working",$G72))))</f>
        <v>0</v>
      </c>
      <c r="S72" s="32" t="str">
        <f aca="false">IF(AND($B72&lt;&gt;"",$M72=TRUE(),$L72=FALSE(),$Q72=FALSE()),COUNTIFS($M$3:$M72,TRUE(),$L$3:$L72,FALSE(),$Q$3:$Q72,FALSE()),"")</f>
        <v/>
      </c>
      <c r="T72" s="32" t="str">
        <f aca="false">IF($B72="","",IF($Q72=TRUE(),"U1",IF($L72=TRUE(),"S1",IF($M72=TRUE(),"D"&amp;MIN(4,INT(($S72-1)/DisplayCapacity)+1),IF($N72=TRUE(),"K1",IF($O72=TRUE(),"P1",IF($P72=TRUE(),"U1",IF($R72=TRUE(),"U1","W"))))))))</f>
        <v>W</v>
      </c>
      <c r="U72" s="32" t="str">
        <f aca="false">IF($T72="","",$T72&amp;"-"&amp;COUNTIF($T$3:T72,$T72))</f>
        <v>W-38</v>
      </c>
      <c r="V72" s="32" t="str">
        <f aca="false">IF($B72="","",_xlfn.TEXTJOIN(" | ",TRUE(),IF($Q72=TRUE(),"Empty box - no physical device, verify status",""),IF(AND($P72=TRUE(),$L72=FALSE(),$M72=FALSE(),$N72=FALSE(),$O72=FALSE(),$Q72=FALSE()),"Speaker fault only - needs manual box assignment",""),IF(AND($R72=TRUE(),$L72=FALSE(),$M72=FALSE(),$N72=FALSE(),$O72=FALSE(),$P72=FALSE(),$Q72=FALSE()),"No fault detail given - needs technician inspection",""),IF(AND(COUNTIF($F$3:$F$252,$F72)&gt;1,LOWER(TRIM($F72))&lt;&gt;"empty"),"Duplicate Serial No - verify device identity",""),IF((--$L72+--$M72+--$N72+--$O72+--$P72)&gt;1,"Multiple fault types detected - review full details before repair","")))</f>
        <v/>
      </c>
      <c r="W72" s="32" t="n">
        <v>0</v>
      </c>
      <c r="X72" s="32"/>
    </row>
    <row r="73" customFormat="false" ht="15" hidden="false" customHeight="true" outlineLevel="0" collapsed="false">
      <c r="A73" s="26" t="n">
        <v>71</v>
      </c>
      <c r="B73" s="30" t="n">
        <v>46244.6054983565</v>
      </c>
      <c r="C73" s="26" t="s">
        <v>90</v>
      </c>
      <c r="D73" s="26" t="str">
        <f aca="false">IF($B73="","",IFERROR(VLOOKUP(TRIM($C73),ModelMap,2,FALSE()),TRIM($C73)))</f>
        <v>X628</v>
      </c>
      <c r="E73" s="26" t="s">
        <v>294</v>
      </c>
      <c r="F73" s="26" t="s">
        <v>295</v>
      </c>
      <c r="G73" s="26" t="s">
        <v>132</v>
      </c>
      <c r="H73" s="26"/>
      <c r="I73" s="26" t="s">
        <v>164</v>
      </c>
      <c r="J73" s="26" t="s">
        <v>129</v>
      </c>
      <c r="K73" s="26" t="str">
        <f aca="false">IF($B73="","",LOWER(TRIM($G73)&amp;" | "&amp;TRIM($H73)&amp;" | "&amp;TRIM($I73)))</f>
        <v>working |  | display is not clear</v>
      </c>
      <c r="L73" s="31" t="b">
        <f aca="false">IF($B73="","",SUMPRODUCT(--ISNUMBER(SEARCH(SensorKW,$K73)))&gt;0)</f>
        <v>0</v>
      </c>
      <c r="M73" s="31" t="b">
        <f aca="false">IF($B73="","",SUMPRODUCT(--ISNUMBER(SEARCH(DisplayKW,$K73)))&gt;0)</f>
        <v>1</v>
      </c>
      <c r="N73" s="31" t="b">
        <f aca="false">IF($B73="","",SUMPRODUCT(--ISNUMBER(SEARCH(KeypadKW,$K73)))&gt;0)</f>
        <v>0</v>
      </c>
      <c r="O73" s="31" t="b">
        <f aca="false">IF($B73="","",SUMPRODUCT(--ISNUMBER(SEARCH(PowerKW,$K73)))&gt;0)</f>
        <v>0</v>
      </c>
      <c r="P73" s="31" t="b">
        <f aca="false">IF($B73="","",SUMPRODUCT(--ISNUMBER(SEARCH(SpeakerKW,$K73)))&gt;0)</f>
        <v>0</v>
      </c>
      <c r="Q73" s="31" t="b">
        <f aca="false">IF($B73="","",OR(SUMPRODUCT(--ISNUMBER(SEARCH(EmptyKW,$K73)))&gt;0,LOWER(TRIM($F73))="empty"))</f>
        <v>0</v>
      </c>
      <c r="R73" s="31" t="b">
        <f aca="false">IF($B73="","",OR(ISNUMBER(SEARCH("repair",$G73)),ISNUMBER(SEARCH("not working",$G73))))</f>
        <v>0</v>
      </c>
      <c r="S73" s="26" t="n">
        <f aca="false">IF(AND($B73&lt;&gt;"",$M73=TRUE(),$L73=FALSE(),$Q73=FALSE()),COUNTIFS($M$3:$M73,TRUE(),$L$3:$L73,FALSE(),$Q$3:$Q73,FALSE()),"")</f>
        <v>10</v>
      </c>
      <c r="T73" s="26" t="str">
        <f aca="false">IF($B73="","",IF($Q73=TRUE(),"U1",IF($L73=TRUE(),"S1",IF($M73=TRUE(),"D"&amp;MIN(4,INT(($S73-1)/DisplayCapacity)+1),IF($N73=TRUE(),"K1",IF($O73=TRUE(),"P1",IF($P73=TRUE(),"U1",IF($R73=TRUE(),"U1","W"))))))))</f>
        <v>D2</v>
      </c>
      <c r="U73" s="26" t="str">
        <f aca="false">IF($T73="","",$T73&amp;"-"&amp;COUNTIF($T$3:T73,$T73))</f>
        <v>D2-3</v>
      </c>
      <c r="V73" s="26" t="str">
        <f aca="false">IF($B73="","",_xlfn.TEXTJOIN(" | ",TRUE(),IF($Q73=TRUE(),"Empty box - no physical device, verify status",""),IF(AND($P73=TRUE(),$L73=FALSE(),$M73=FALSE(),$N73=FALSE(),$O73=FALSE(),$Q73=FALSE()),"Speaker fault only - needs manual box assignment",""),IF(AND($R73=TRUE(),$L73=FALSE(),$M73=FALSE(),$N73=FALSE(),$O73=FALSE(),$P73=FALSE(),$Q73=FALSE()),"No fault detail given - needs technician inspection",""),IF(AND(COUNTIF($F$3:$F$252,$F73)&gt;1,LOWER(TRIM($F73))&lt;&gt;"empty"),"Duplicate Serial No - verify device identity",""),IF((--$L73+--$M73+--$N73+--$O73+--$P73)&gt;1,"Multiple fault types detected - review full details before repair","")))</f>
        <v/>
      </c>
      <c r="W73" s="26" t="n">
        <v>0</v>
      </c>
      <c r="X73" s="26"/>
    </row>
    <row r="74" customFormat="false" ht="15" hidden="false" customHeight="true" outlineLevel="0" collapsed="false">
      <c r="A74" s="32" t="n">
        <v>72</v>
      </c>
      <c r="B74" s="33" t="n">
        <v>46244.6079423611</v>
      </c>
      <c r="C74" s="32" t="s">
        <v>90</v>
      </c>
      <c r="D74" s="32" t="str">
        <f aca="false">IF($B74="","",IFERROR(VLOOKUP(TRIM($C74),ModelMap,2,FALSE()),TRIM($C74)))</f>
        <v>X628</v>
      </c>
      <c r="E74" s="32" t="s">
        <v>296</v>
      </c>
      <c r="F74" s="32" t="s">
        <v>297</v>
      </c>
      <c r="G74" s="32" t="s">
        <v>132</v>
      </c>
      <c r="H74" s="32"/>
      <c r="I74" s="32"/>
      <c r="J74" s="32" t="s">
        <v>129</v>
      </c>
      <c r="K74" s="32" t="str">
        <f aca="false">IF($B74="","",LOWER(TRIM($G74)&amp;" | "&amp;TRIM($H74)&amp;" | "&amp;TRIM($I74)))</f>
        <v>working |  | </v>
      </c>
      <c r="L74" s="34" t="b">
        <f aca="false">IF($B74="","",SUMPRODUCT(--ISNUMBER(SEARCH(SensorKW,$K74)))&gt;0)</f>
        <v>0</v>
      </c>
      <c r="M74" s="34" t="b">
        <f aca="false">IF($B74="","",SUMPRODUCT(--ISNUMBER(SEARCH(DisplayKW,$K74)))&gt;0)</f>
        <v>0</v>
      </c>
      <c r="N74" s="34" t="b">
        <f aca="false">IF($B74="","",SUMPRODUCT(--ISNUMBER(SEARCH(KeypadKW,$K74)))&gt;0)</f>
        <v>0</v>
      </c>
      <c r="O74" s="34" t="b">
        <f aca="false">IF($B74="","",SUMPRODUCT(--ISNUMBER(SEARCH(PowerKW,$K74)))&gt;0)</f>
        <v>0</v>
      </c>
      <c r="P74" s="34" t="b">
        <f aca="false">IF($B74="","",SUMPRODUCT(--ISNUMBER(SEARCH(SpeakerKW,$K74)))&gt;0)</f>
        <v>0</v>
      </c>
      <c r="Q74" s="34" t="b">
        <f aca="false">IF($B74="","",OR(SUMPRODUCT(--ISNUMBER(SEARCH(EmptyKW,$K74)))&gt;0,LOWER(TRIM($F74))="empty"))</f>
        <v>0</v>
      </c>
      <c r="R74" s="34" t="b">
        <f aca="false">IF($B74="","",OR(ISNUMBER(SEARCH("repair",$G74)),ISNUMBER(SEARCH("not working",$G74))))</f>
        <v>0</v>
      </c>
      <c r="S74" s="32" t="str">
        <f aca="false">IF(AND($B74&lt;&gt;"",$M74=TRUE(),$L74=FALSE(),$Q74=FALSE()),COUNTIFS($M$3:$M74,TRUE(),$L$3:$L74,FALSE(),$Q$3:$Q74,FALSE()),"")</f>
        <v/>
      </c>
      <c r="T74" s="32" t="str">
        <f aca="false">IF($B74="","",IF($Q74=TRUE(),"U1",IF($L74=TRUE(),"S1",IF($M74=TRUE(),"D"&amp;MIN(4,INT(($S74-1)/DisplayCapacity)+1),IF($N74=TRUE(),"K1",IF($O74=TRUE(),"P1",IF($P74=TRUE(),"U1",IF($R74=TRUE(),"U1","W"))))))))</f>
        <v>W</v>
      </c>
      <c r="U74" s="32" t="str">
        <f aca="false">IF($T74="","",$T74&amp;"-"&amp;COUNTIF($T$3:T74,$T74))</f>
        <v>W-39</v>
      </c>
      <c r="V74" s="32" t="str">
        <f aca="false">IF($B74="","",_xlfn.TEXTJOIN(" | ",TRUE(),IF($Q74=TRUE(),"Empty box - no physical device, verify status",""),IF(AND($P74=TRUE(),$L74=FALSE(),$M74=FALSE(),$N74=FALSE(),$O74=FALSE(),$Q74=FALSE()),"Speaker fault only - needs manual box assignment",""),IF(AND($R74=TRUE(),$L74=FALSE(),$M74=FALSE(),$N74=FALSE(),$O74=FALSE(),$P74=FALSE(),$Q74=FALSE()),"No fault detail given - needs technician inspection",""),IF(AND(COUNTIF($F$3:$F$252,$F74)&gt;1,LOWER(TRIM($F74))&lt;&gt;"empty"),"Duplicate Serial No - verify device identity",""),IF((--$L74+--$M74+--$N74+--$O74+--$P74)&gt;1,"Multiple fault types detected - review full details before repair","")))</f>
        <v/>
      </c>
      <c r="W74" s="32" t="n">
        <v>0</v>
      </c>
      <c r="X74" s="32"/>
    </row>
    <row r="75" customFormat="false" ht="15" hidden="false" customHeight="true" outlineLevel="0" collapsed="false">
      <c r="A75" s="26" t="n">
        <v>73</v>
      </c>
      <c r="B75" s="30" t="n">
        <v>46244.6090122107</v>
      </c>
      <c r="C75" s="26" t="s">
        <v>90</v>
      </c>
      <c r="D75" s="26" t="str">
        <f aca="false">IF($B75="","",IFERROR(VLOOKUP(TRIM($C75),ModelMap,2,FALSE()),TRIM($C75)))</f>
        <v>X628</v>
      </c>
      <c r="E75" s="26" t="s">
        <v>298</v>
      </c>
      <c r="F75" s="26" t="s">
        <v>299</v>
      </c>
      <c r="G75" s="26" t="s">
        <v>132</v>
      </c>
      <c r="H75" s="26"/>
      <c r="I75" s="26"/>
      <c r="J75" s="26" t="s">
        <v>129</v>
      </c>
      <c r="K75" s="26" t="str">
        <f aca="false">IF($B75="","",LOWER(TRIM($G75)&amp;" | "&amp;TRIM($H75)&amp;" | "&amp;TRIM($I75)))</f>
        <v>working |  | </v>
      </c>
      <c r="L75" s="31" t="b">
        <f aca="false">IF($B75="","",SUMPRODUCT(--ISNUMBER(SEARCH(SensorKW,$K75)))&gt;0)</f>
        <v>0</v>
      </c>
      <c r="M75" s="31" t="b">
        <f aca="false">IF($B75="","",SUMPRODUCT(--ISNUMBER(SEARCH(DisplayKW,$K75)))&gt;0)</f>
        <v>0</v>
      </c>
      <c r="N75" s="31" t="b">
        <f aca="false">IF($B75="","",SUMPRODUCT(--ISNUMBER(SEARCH(KeypadKW,$K75)))&gt;0)</f>
        <v>0</v>
      </c>
      <c r="O75" s="31" t="b">
        <f aca="false">IF($B75="","",SUMPRODUCT(--ISNUMBER(SEARCH(PowerKW,$K75)))&gt;0)</f>
        <v>0</v>
      </c>
      <c r="P75" s="31" t="b">
        <f aca="false">IF($B75="","",SUMPRODUCT(--ISNUMBER(SEARCH(SpeakerKW,$K75)))&gt;0)</f>
        <v>0</v>
      </c>
      <c r="Q75" s="31" t="b">
        <f aca="false">IF($B75="","",OR(SUMPRODUCT(--ISNUMBER(SEARCH(EmptyKW,$K75)))&gt;0,LOWER(TRIM($F75))="empty"))</f>
        <v>0</v>
      </c>
      <c r="R75" s="31" t="b">
        <f aca="false">IF($B75="","",OR(ISNUMBER(SEARCH("repair",$G75)),ISNUMBER(SEARCH("not working",$G75))))</f>
        <v>0</v>
      </c>
      <c r="S75" s="26" t="str">
        <f aca="false">IF(AND($B75&lt;&gt;"",$M75=TRUE(),$L75=FALSE(),$Q75=FALSE()),COUNTIFS($M$3:$M75,TRUE(),$L$3:$L75,FALSE(),$Q$3:$Q75,FALSE()),"")</f>
        <v/>
      </c>
      <c r="T75" s="26" t="str">
        <f aca="false">IF($B75="","",IF($Q75=TRUE(),"U1",IF($L75=TRUE(),"S1",IF($M75=TRUE(),"D"&amp;MIN(4,INT(($S75-1)/DisplayCapacity)+1),IF($N75=TRUE(),"K1",IF($O75=TRUE(),"P1",IF($P75=TRUE(),"U1",IF($R75=TRUE(),"U1","W"))))))))</f>
        <v>W</v>
      </c>
      <c r="U75" s="26" t="str">
        <f aca="false">IF($T75="","",$T75&amp;"-"&amp;COUNTIF($T$3:T75,$T75))</f>
        <v>W-40</v>
      </c>
      <c r="V75" s="26" t="str">
        <f aca="false">IF($B75="","",_xlfn.TEXTJOIN(" | ",TRUE(),IF($Q75=TRUE(),"Empty box - no physical device, verify status",""),IF(AND($P75=TRUE(),$L75=FALSE(),$M75=FALSE(),$N75=FALSE(),$O75=FALSE(),$Q75=FALSE()),"Speaker fault only - needs manual box assignment",""),IF(AND($R75=TRUE(),$L75=FALSE(),$M75=FALSE(),$N75=FALSE(),$O75=FALSE(),$P75=FALSE(),$Q75=FALSE()),"No fault detail given - needs technician inspection",""),IF(AND(COUNTIF($F$3:$F$252,$F75)&gt;1,LOWER(TRIM($F75))&lt;&gt;"empty"),"Duplicate Serial No - verify device identity",""),IF((--$L75+--$M75+--$N75+--$O75+--$P75)&gt;1,"Multiple fault types detected - review full details before repair","")))</f>
        <v/>
      </c>
      <c r="W75" s="26" t="n">
        <v>0</v>
      </c>
      <c r="X75" s="26"/>
    </row>
    <row r="76" customFormat="false" ht="15" hidden="false" customHeight="true" outlineLevel="0" collapsed="false">
      <c r="A76" s="32" t="n">
        <v>74</v>
      </c>
      <c r="B76" s="33" t="n">
        <v>46244.6121071759</v>
      </c>
      <c r="C76" s="32" t="s">
        <v>90</v>
      </c>
      <c r="D76" s="32" t="str">
        <f aca="false">IF($B76="","",IFERROR(VLOOKUP(TRIM($C76),ModelMap,2,FALSE()),TRIM($C76)))</f>
        <v>X628</v>
      </c>
      <c r="E76" s="32" t="s">
        <v>300</v>
      </c>
      <c r="F76" s="32" t="s">
        <v>301</v>
      </c>
      <c r="G76" s="32" t="s">
        <v>132</v>
      </c>
      <c r="H76" s="32"/>
      <c r="I76" s="32" t="s">
        <v>302</v>
      </c>
      <c r="J76" s="32" t="s">
        <v>129</v>
      </c>
      <c r="K76" s="32" t="str">
        <f aca="false">IF($B76="","",LOWER(TRIM($G76)&amp;" | "&amp;TRIM($H76)&amp;" | "&amp;TRIM($I76)))</f>
        <v>working |  | display is little bit un clear</v>
      </c>
      <c r="L76" s="34" t="b">
        <f aca="false">IF($B76="","",SUMPRODUCT(--ISNUMBER(SEARCH(SensorKW,$K76)))&gt;0)</f>
        <v>0</v>
      </c>
      <c r="M76" s="34" t="b">
        <f aca="false">IF($B76="","",SUMPRODUCT(--ISNUMBER(SEARCH(DisplayKW,$K76)))&gt;0)</f>
        <v>1</v>
      </c>
      <c r="N76" s="34" t="b">
        <f aca="false">IF($B76="","",SUMPRODUCT(--ISNUMBER(SEARCH(KeypadKW,$K76)))&gt;0)</f>
        <v>0</v>
      </c>
      <c r="O76" s="34" t="b">
        <f aca="false">IF($B76="","",SUMPRODUCT(--ISNUMBER(SEARCH(PowerKW,$K76)))&gt;0)</f>
        <v>0</v>
      </c>
      <c r="P76" s="34" t="b">
        <f aca="false">IF($B76="","",SUMPRODUCT(--ISNUMBER(SEARCH(SpeakerKW,$K76)))&gt;0)</f>
        <v>0</v>
      </c>
      <c r="Q76" s="34" t="b">
        <f aca="false">IF($B76="","",OR(SUMPRODUCT(--ISNUMBER(SEARCH(EmptyKW,$K76)))&gt;0,LOWER(TRIM($F76))="empty"))</f>
        <v>0</v>
      </c>
      <c r="R76" s="34" t="b">
        <f aca="false">IF($B76="","",OR(ISNUMBER(SEARCH("repair",$G76)),ISNUMBER(SEARCH("not working",$G76))))</f>
        <v>0</v>
      </c>
      <c r="S76" s="32" t="n">
        <f aca="false">IF(AND($B76&lt;&gt;"",$M76=TRUE(),$L76=FALSE(),$Q76=FALSE()),COUNTIFS($M$3:$M76,TRUE(),$L$3:$L76,FALSE(),$Q$3:$Q76,FALSE()),"")</f>
        <v>11</v>
      </c>
      <c r="T76" s="32" t="str">
        <f aca="false">IF($B76="","",IF($Q76=TRUE(),"U1",IF($L76=TRUE(),"S1",IF($M76=TRUE(),"D"&amp;MIN(4,INT(($S76-1)/DisplayCapacity)+1),IF($N76=TRUE(),"K1",IF($O76=TRUE(),"P1",IF($P76=TRUE(),"U1",IF($R76=TRUE(),"U1","W"))))))))</f>
        <v>D2</v>
      </c>
      <c r="U76" s="32" t="str">
        <f aca="false">IF($T76="","",$T76&amp;"-"&amp;COUNTIF($T$3:T76,$T76))</f>
        <v>D2-4</v>
      </c>
      <c r="V76" s="32" t="str">
        <f aca="false">IF($B76="","",_xlfn.TEXTJOIN(" | ",TRUE(),IF($Q76=TRUE(),"Empty box - no physical device, verify status",""),IF(AND($P76=TRUE(),$L76=FALSE(),$M76=FALSE(),$N76=FALSE(),$O76=FALSE(),$Q76=FALSE()),"Speaker fault only - needs manual box assignment",""),IF(AND($R76=TRUE(),$L76=FALSE(),$M76=FALSE(),$N76=FALSE(),$O76=FALSE(),$P76=FALSE(),$Q76=FALSE()),"No fault detail given - needs technician inspection",""),IF(AND(COUNTIF($F$3:$F$252,$F76)&gt;1,LOWER(TRIM($F76))&lt;&gt;"empty"),"Duplicate Serial No - verify device identity",""),IF((--$L76+--$M76+--$N76+--$O76+--$P76)&gt;1,"Multiple fault types detected - review full details before repair","")))</f>
        <v/>
      </c>
      <c r="W76" s="32" t="n">
        <v>0</v>
      </c>
      <c r="X76" s="32"/>
    </row>
    <row r="77" customFormat="false" ht="15" hidden="false" customHeight="true" outlineLevel="0" collapsed="false">
      <c r="A77" s="26" t="n">
        <v>75</v>
      </c>
      <c r="B77" s="30" t="n">
        <v>46244.6126027083</v>
      </c>
      <c r="C77" s="26" t="s">
        <v>92</v>
      </c>
      <c r="D77" s="26" t="str">
        <f aca="false">IF($B77="","",IFERROR(VLOOKUP(TRIM($C77),ModelMap,2,FALSE()),TRIM($C77)))</f>
        <v>TX628</v>
      </c>
      <c r="E77" s="26" t="s">
        <v>303</v>
      </c>
      <c r="F77" s="26" t="s">
        <v>304</v>
      </c>
      <c r="G77" s="26" t="s">
        <v>132</v>
      </c>
      <c r="H77" s="26"/>
      <c r="I77" s="26"/>
      <c r="J77" s="26" t="s">
        <v>133</v>
      </c>
      <c r="K77" s="26" t="str">
        <f aca="false">IF($B77="","",LOWER(TRIM($G77)&amp;" | "&amp;TRIM($H77)&amp;" | "&amp;TRIM($I77)))</f>
        <v>working |  | </v>
      </c>
      <c r="L77" s="31" t="b">
        <f aca="false">IF($B77="","",SUMPRODUCT(--ISNUMBER(SEARCH(SensorKW,$K77)))&gt;0)</f>
        <v>0</v>
      </c>
      <c r="M77" s="31" t="b">
        <f aca="false">IF($B77="","",SUMPRODUCT(--ISNUMBER(SEARCH(DisplayKW,$K77)))&gt;0)</f>
        <v>0</v>
      </c>
      <c r="N77" s="31" t="b">
        <f aca="false">IF($B77="","",SUMPRODUCT(--ISNUMBER(SEARCH(KeypadKW,$K77)))&gt;0)</f>
        <v>0</v>
      </c>
      <c r="O77" s="31" t="b">
        <f aca="false">IF($B77="","",SUMPRODUCT(--ISNUMBER(SEARCH(PowerKW,$K77)))&gt;0)</f>
        <v>0</v>
      </c>
      <c r="P77" s="31" t="b">
        <f aca="false">IF($B77="","",SUMPRODUCT(--ISNUMBER(SEARCH(SpeakerKW,$K77)))&gt;0)</f>
        <v>0</v>
      </c>
      <c r="Q77" s="31" t="b">
        <f aca="false">IF($B77="","",OR(SUMPRODUCT(--ISNUMBER(SEARCH(EmptyKW,$K77)))&gt;0,LOWER(TRIM($F77))="empty"))</f>
        <v>0</v>
      </c>
      <c r="R77" s="31" t="b">
        <f aca="false">IF($B77="","",OR(ISNUMBER(SEARCH("repair",$G77)),ISNUMBER(SEARCH("not working",$G77))))</f>
        <v>0</v>
      </c>
      <c r="S77" s="26" t="str">
        <f aca="false">IF(AND($B77&lt;&gt;"",$M77=TRUE(),$L77=FALSE(),$Q77=FALSE()),COUNTIFS($M$3:$M77,TRUE(),$L$3:$L77,FALSE(),$Q$3:$Q77,FALSE()),"")</f>
        <v/>
      </c>
      <c r="T77" s="26" t="str">
        <f aca="false">IF($B77="","",IF($Q77=TRUE(),"U1",IF($L77=TRUE(),"S1",IF($M77=TRUE(),"D"&amp;MIN(4,INT(($S77-1)/DisplayCapacity)+1),IF($N77=TRUE(),"K1",IF($O77=TRUE(),"P1",IF($P77=TRUE(),"U1",IF($R77=TRUE(),"U1","W"))))))))</f>
        <v>W</v>
      </c>
      <c r="U77" s="26" t="str">
        <f aca="false">IF($T77="","",$T77&amp;"-"&amp;COUNTIF($T$3:T77,$T77))</f>
        <v>W-41</v>
      </c>
      <c r="V77" s="26" t="str">
        <f aca="false">IF($B77="","",_xlfn.TEXTJOIN(" | ",TRUE(),IF($Q77=TRUE(),"Empty box - no physical device, verify status",""),IF(AND($P77=TRUE(),$L77=FALSE(),$M77=FALSE(),$N77=FALSE(),$O77=FALSE(),$Q77=FALSE()),"Speaker fault only - needs manual box assignment",""),IF(AND($R77=TRUE(),$L77=FALSE(),$M77=FALSE(),$N77=FALSE(),$O77=FALSE(),$P77=FALSE(),$Q77=FALSE()),"No fault detail given - needs technician inspection",""),IF(AND(COUNTIF($F$3:$F$252,$F77)&gt;1,LOWER(TRIM($F77))&lt;&gt;"empty"),"Duplicate Serial No - verify device identity",""),IF((--$L77+--$M77+--$N77+--$O77+--$P77)&gt;1,"Multiple fault types detected - review full details before repair","")))</f>
        <v/>
      </c>
      <c r="W77" s="26" t="n">
        <v>0</v>
      </c>
      <c r="X77" s="26"/>
    </row>
    <row r="78" customFormat="false" ht="15" hidden="false" customHeight="true" outlineLevel="0" collapsed="false">
      <c r="A78" s="32" t="n">
        <v>76</v>
      </c>
      <c r="B78" s="33" t="n">
        <v>46244.6146118519</v>
      </c>
      <c r="C78" s="32" t="s">
        <v>90</v>
      </c>
      <c r="D78" s="32" t="str">
        <f aca="false">IF($B78="","",IFERROR(VLOOKUP(TRIM($C78),ModelMap,2,FALSE()),TRIM($C78)))</f>
        <v>X628</v>
      </c>
      <c r="E78" s="32" t="s">
        <v>305</v>
      </c>
      <c r="F78" s="32" t="s">
        <v>306</v>
      </c>
      <c r="G78" s="32" t="s">
        <v>132</v>
      </c>
      <c r="H78" s="32"/>
      <c r="I78" s="32" t="s">
        <v>307</v>
      </c>
      <c r="J78" s="32" t="s">
        <v>129</v>
      </c>
      <c r="K78" s="32" t="str">
        <f aca="false">IF($B78="","",LOWER(TRIM($G78)&amp;" | "&amp;TRIM($H78)&amp;" | "&amp;TRIM($I78)))</f>
        <v>working |  | display is not clear</v>
      </c>
      <c r="L78" s="34" t="b">
        <f aca="false">IF($B78="","",SUMPRODUCT(--ISNUMBER(SEARCH(SensorKW,$K78)))&gt;0)</f>
        <v>0</v>
      </c>
      <c r="M78" s="34" t="b">
        <f aca="false">IF($B78="","",SUMPRODUCT(--ISNUMBER(SEARCH(DisplayKW,$K78)))&gt;0)</f>
        <v>1</v>
      </c>
      <c r="N78" s="34" t="b">
        <f aca="false">IF($B78="","",SUMPRODUCT(--ISNUMBER(SEARCH(KeypadKW,$K78)))&gt;0)</f>
        <v>0</v>
      </c>
      <c r="O78" s="34" t="b">
        <f aca="false">IF($B78="","",SUMPRODUCT(--ISNUMBER(SEARCH(PowerKW,$K78)))&gt;0)</f>
        <v>0</v>
      </c>
      <c r="P78" s="34" t="b">
        <f aca="false">IF($B78="","",SUMPRODUCT(--ISNUMBER(SEARCH(SpeakerKW,$K78)))&gt;0)</f>
        <v>0</v>
      </c>
      <c r="Q78" s="34" t="b">
        <f aca="false">IF($B78="","",OR(SUMPRODUCT(--ISNUMBER(SEARCH(EmptyKW,$K78)))&gt;0,LOWER(TRIM($F78))="empty"))</f>
        <v>0</v>
      </c>
      <c r="R78" s="34" t="b">
        <f aca="false">IF($B78="","",OR(ISNUMBER(SEARCH("repair",$G78)),ISNUMBER(SEARCH("not working",$G78))))</f>
        <v>0</v>
      </c>
      <c r="S78" s="32" t="n">
        <f aca="false">IF(AND($B78&lt;&gt;"",$M78=TRUE(),$L78=FALSE(),$Q78=FALSE()),COUNTIFS($M$3:$M78,TRUE(),$L$3:$L78,FALSE(),$Q$3:$Q78,FALSE()),"")</f>
        <v>12</v>
      </c>
      <c r="T78" s="32" t="str">
        <f aca="false">IF($B78="","",IF($Q78=TRUE(),"U1",IF($L78=TRUE(),"S1",IF($M78=TRUE(),"D"&amp;MIN(4,INT(($S78-1)/DisplayCapacity)+1),IF($N78=TRUE(),"K1",IF($O78=TRUE(),"P1",IF($P78=TRUE(),"U1",IF($R78=TRUE(),"U1","W"))))))))</f>
        <v>D2</v>
      </c>
      <c r="U78" s="32" t="str">
        <f aca="false">IF($T78="","",$T78&amp;"-"&amp;COUNTIF($T$3:T78,$T78))</f>
        <v>D2-5</v>
      </c>
      <c r="V78" s="32" t="str">
        <f aca="false">IF($B78="","",_xlfn.TEXTJOIN(" | ",TRUE(),IF($Q78=TRUE(),"Empty box - no physical device, verify status",""),IF(AND($P78=TRUE(),$L78=FALSE(),$M78=FALSE(),$N78=FALSE(),$O78=FALSE(),$Q78=FALSE()),"Speaker fault only - needs manual box assignment",""),IF(AND($R78=TRUE(),$L78=FALSE(),$M78=FALSE(),$N78=FALSE(),$O78=FALSE(),$P78=FALSE(),$Q78=FALSE()),"No fault detail given - needs technician inspection",""),IF(AND(COUNTIF($F$3:$F$252,$F78)&gt;1,LOWER(TRIM($F78))&lt;&gt;"empty"),"Duplicate Serial No - verify device identity",""),IF((--$L78+--$M78+--$N78+--$O78+--$P78)&gt;1,"Multiple fault types detected - review full details before repair","")))</f>
        <v/>
      </c>
      <c r="W78" s="32" t="n">
        <v>0</v>
      </c>
      <c r="X78" s="32"/>
    </row>
    <row r="79" customFormat="false" ht="15" hidden="false" customHeight="true" outlineLevel="0" collapsed="false">
      <c r="A79" s="26" t="n">
        <v>77</v>
      </c>
      <c r="B79" s="30" t="n">
        <v>46244.6172540509</v>
      </c>
      <c r="C79" s="26" t="s">
        <v>90</v>
      </c>
      <c r="D79" s="26" t="str">
        <f aca="false">IF($B79="","",IFERROR(VLOOKUP(TRIM($C79),ModelMap,2,FALSE()),TRIM($C79)))</f>
        <v>X628</v>
      </c>
      <c r="E79" s="26" t="s">
        <v>308</v>
      </c>
      <c r="F79" s="26" t="s">
        <v>309</v>
      </c>
      <c r="G79" s="26" t="s">
        <v>150</v>
      </c>
      <c r="H79" s="26" t="s">
        <v>184</v>
      </c>
      <c r="I79" s="26"/>
      <c r="J79" s="26" t="s">
        <v>133</v>
      </c>
      <c r="K79" s="26" t="str">
        <f aca="false">IF($B79="","",LOWER(TRIM($G79)&amp;" | "&amp;TRIM($H79)&amp;" | "&amp;TRIM($I79)))</f>
        <v>working, have to repair | no sensor | </v>
      </c>
      <c r="L79" s="31" t="b">
        <f aca="false">IF($B79="","",SUMPRODUCT(--ISNUMBER(SEARCH(SensorKW,$K79)))&gt;0)</f>
        <v>1</v>
      </c>
      <c r="M79" s="31" t="b">
        <f aca="false">IF($B79="","",SUMPRODUCT(--ISNUMBER(SEARCH(DisplayKW,$K79)))&gt;0)</f>
        <v>0</v>
      </c>
      <c r="N79" s="31" t="b">
        <f aca="false">IF($B79="","",SUMPRODUCT(--ISNUMBER(SEARCH(KeypadKW,$K79)))&gt;0)</f>
        <v>0</v>
      </c>
      <c r="O79" s="31" t="b">
        <f aca="false">IF($B79="","",SUMPRODUCT(--ISNUMBER(SEARCH(PowerKW,$K79)))&gt;0)</f>
        <v>0</v>
      </c>
      <c r="P79" s="31" t="b">
        <f aca="false">IF($B79="","",SUMPRODUCT(--ISNUMBER(SEARCH(SpeakerKW,$K79)))&gt;0)</f>
        <v>0</v>
      </c>
      <c r="Q79" s="31" t="b">
        <f aca="false">IF($B79="","",OR(SUMPRODUCT(--ISNUMBER(SEARCH(EmptyKW,$K79)))&gt;0,LOWER(TRIM($F79))="empty"))</f>
        <v>0</v>
      </c>
      <c r="R79" s="31" t="b">
        <f aca="false">IF($B79="","",OR(ISNUMBER(SEARCH("repair",$G79)),ISNUMBER(SEARCH("not working",$G79))))</f>
        <v>1</v>
      </c>
      <c r="S79" s="26" t="str">
        <f aca="false">IF(AND($B79&lt;&gt;"",$M79=TRUE(),$L79=FALSE(),$Q79=FALSE()),COUNTIFS($M$3:$M79,TRUE(),$L$3:$L79,FALSE(),$Q$3:$Q79,FALSE()),"")</f>
        <v/>
      </c>
      <c r="T79" s="26" t="str">
        <f aca="false">IF($B79="","",IF($Q79=TRUE(),"U1",IF($L79=TRUE(),"S1",IF($M79=TRUE(),"D"&amp;MIN(4,INT(($S79-1)/DisplayCapacity)+1),IF($N79=TRUE(),"K1",IF($O79=TRUE(),"P1",IF($P79=TRUE(),"U1",IF($R79=TRUE(),"U1","W"))))))))</f>
        <v>S1</v>
      </c>
      <c r="U79" s="26" t="str">
        <f aca="false">IF($T79="","",$T79&amp;"-"&amp;COUNTIF($T$3:T79,$T79))</f>
        <v>S1-17</v>
      </c>
      <c r="V79" s="26" t="str">
        <f aca="false">IF($B79="","",_xlfn.TEXTJOIN(" | ",TRUE(),IF($Q79=TRUE(),"Empty box - no physical device, verify status",""),IF(AND($P79=TRUE(),$L79=FALSE(),$M79=FALSE(),$N79=FALSE(),$O79=FALSE(),$Q79=FALSE()),"Speaker fault only - needs manual box assignment",""),IF(AND($R79=TRUE(),$L79=FALSE(),$M79=FALSE(),$N79=FALSE(),$O79=FALSE(),$P79=FALSE(),$Q79=FALSE()),"No fault detail given - needs technician inspection",""),IF(AND(COUNTIF($F$3:$F$252,$F79)&gt;1,LOWER(TRIM($F79))&lt;&gt;"empty"),"Duplicate Serial No - verify device identity",""),IF((--$L79+--$M79+--$N79+--$O79+--$P79)&gt;1,"Multiple fault types detected - review full details before repair","")))</f>
        <v/>
      </c>
      <c r="W79" s="26" t="n">
        <v>0</v>
      </c>
      <c r="X79" s="26"/>
    </row>
    <row r="80" customFormat="false" ht="15" hidden="false" customHeight="true" outlineLevel="0" collapsed="false">
      <c r="A80" s="32" t="n">
        <v>78</v>
      </c>
      <c r="B80" s="33" t="n">
        <v>46244.6202140625</v>
      </c>
      <c r="C80" s="32" t="s">
        <v>90</v>
      </c>
      <c r="D80" s="32" t="str">
        <f aca="false">IF($B80="","",IFERROR(VLOOKUP(TRIM($C80),ModelMap,2,FALSE()),TRIM($C80)))</f>
        <v>X628</v>
      </c>
      <c r="E80" s="32" t="s">
        <v>310</v>
      </c>
      <c r="F80" s="32" t="s">
        <v>311</v>
      </c>
      <c r="G80" s="32" t="s">
        <v>132</v>
      </c>
      <c r="H80" s="32"/>
      <c r="I80" s="32"/>
      <c r="J80" s="32" t="s">
        <v>129</v>
      </c>
      <c r="K80" s="32" t="str">
        <f aca="false">IF($B80="","",LOWER(TRIM($G80)&amp;" | "&amp;TRIM($H80)&amp;" | "&amp;TRIM($I80)))</f>
        <v>working |  | </v>
      </c>
      <c r="L80" s="34" t="b">
        <f aca="false">IF($B80="","",SUMPRODUCT(--ISNUMBER(SEARCH(SensorKW,$K80)))&gt;0)</f>
        <v>0</v>
      </c>
      <c r="M80" s="34" t="b">
        <f aca="false">IF($B80="","",SUMPRODUCT(--ISNUMBER(SEARCH(DisplayKW,$K80)))&gt;0)</f>
        <v>0</v>
      </c>
      <c r="N80" s="34" t="b">
        <f aca="false">IF($B80="","",SUMPRODUCT(--ISNUMBER(SEARCH(KeypadKW,$K80)))&gt;0)</f>
        <v>0</v>
      </c>
      <c r="O80" s="34" t="b">
        <f aca="false">IF($B80="","",SUMPRODUCT(--ISNUMBER(SEARCH(PowerKW,$K80)))&gt;0)</f>
        <v>0</v>
      </c>
      <c r="P80" s="34" t="b">
        <f aca="false">IF($B80="","",SUMPRODUCT(--ISNUMBER(SEARCH(SpeakerKW,$K80)))&gt;0)</f>
        <v>0</v>
      </c>
      <c r="Q80" s="34" t="b">
        <f aca="false">IF($B80="","",OR(SUMPRODUCT(--ISNUMBER(SEARCH(EmptyKW,$K80)))&gt;0,LOWER(TRIM($F80))="empty"))</f>
        <v>0</v>
      </c>
      <c r="R80" s="34" t="b">
        <f aca="false">IF($B80="","",OR(ISNUMBER(SEARCH("repair",$G80)),ISNUMBER(SEARCH("not working",$G80))))</f>
        <v>0</v>
      </c>
      <c r="S80" s="32" t="str">
        <f aca="false">IF(AND($B80&lt;&gt;"",$M80=TRUE(),$L80=FALSE(),$Q80=FALSE()),COUNTIFS($M$3:$M80,TRUE(),$L$3:$L80,FALSE(),$Q$3:$Q80,FALSE()),"")</f>
        <v/>
      </c>
      <c r="T80" s="32" t="str">
        <f aca="false">IF($B80="","",IF($Q80=TRUE(),"U1",IF($L80=TRUE(),"S1",IF($M80=TRUE(),"D"&amp;MIN(4,INT(($S80-1)/DisplayCapacity)+1),IF($N80=TRUE(),"K1",IF($O80=TRUE(),"P1",IF($P80=TRUE(),"U1",IF($R80=TRUE(),"U1","W"))))))))</f>
        <v>W</v>
      </c>
      <c r="U80" s="32" t="str">
        <f aca="false">IF($T80="","",$T80&amp;"-"&amp;COUNTIF($T$3:T80,$T80))</f>
        <v>W-42</v>
      </c>
      <c r="V80" s="32" t="str">
        <f aca="false">IF($B80="","",_xlfn.TEXTJOIN(" | ",TRUE(),IF($Q80=TRUE(),"Empty box - no physical device, verify status",""),IF(AND($P80=TRUE(),$L80=FALSE(),$M80=FALSE(),$N80=FALSE(),$O80=FALSE(),$Q80=FALSE()),"Speaker fault only - needs manual box assignment",""),IF(AND($R80=TRUE(),$L80=FALSE(),$M80=FALSE(),$N80=FALSE(),$O80=FALSE(),$P80=FALSE(),$Q80=FALSE()),"No fault detail given - needs technician inspection",""),IF(AND(COUNTIF($F$3:$F$252,$F80)&gt;1,LOWER(TRIM($F80))&lt;&gt;"empty"),"Duplicate Serial No - verify device identity",""),IF((--$L80+--$M80+--$N80+--$O80+--$P80)&gt;1,"Multiple fault types detected - review full details before repair","")))</f>
        <v/>
      </c>
      <c r="W80" s="32" t="n">
        <v>0</v>
      </c>
      <c r="X80" s="32"/>
    </row>
    <row r="81" customFormat="false" ht="15" hidden="false" customHeight="true" outlineLevel="0" collapsed="false">
      <c r="A81" s="26" t="n">
        <v>79</v>
      </c>
      <c r="B81" s="30" t="n">
        <v>46244.6220150463</v>
      </c>
      <c r="C81" s="26" t="s">
        <v>90</v>
      </c>
      <c r="D81" s="26" t="str">
        <f aca="false">IF($B81="","",IFERROR(VLOOKUP(TRIM($C81),ModelMap,2,FALSE()),TRIM($C81)))</f>
        <v>X628</v>
      </c>
      <c r="E81" s="26" t="s">
        <v>312</v>
      </c>
      <c r="F81" s="26" t="s">
        <v>313</v>
      </c>
      <c r="G81" s="26" t="s">
        <v>132</v>
      </c>
      <c r="H81" s="26"/>
      <c r="I81" s="26"/>
      <c r="J81" s="26" t="s">
        <v>129</v>
      </c>
      <c r="K81" s="26" t="str">
        <f aca="false">IF($B81="","",LOWER(TRIM($G81)&amp;" | "&amp;TRIM($H81)&amp;" | "&amp;TRIM($I81)))</f>
        <v>working |  | </v>
      </c>
      <c r="L81" s="31" t="b">
        <f aca="false">IF($B81="","",SUMPRODUCT(--ISNUMBER(SEARCH(SensorKW,$K81)))&gt;0)</f>
        <v>0</v>
      </c>
      <c r="M81" s="31" t="b">
        <f aca="false">IF($B81="","",SUMPRODUCT(--ISNUMBER(SEARCH(DisplayKW,$K81)))&gt;0)</f>
        <v>0</v>
      </c>
      <c r="N81" s="31" t="b">
        <f aca="false">IF($B81="","",SUMPRODUCT(--ISNUMBER(SEARCH(KeypadKW,$K81)))&gt;0)</f>
        <v>0</v>
      </c>
      <c r="O81" s="31" t="b">
        <f aca="false">IF($B81="","",SUMPRODUCT(--ISNUMBER(SEARCH(PowerKW,$K81)))&gt;0)</f>
        <v>0</v>
      </c>
      <c r="P81" s="31" t="b">
        <f aca="false">IF($B81="","",SUMPRODUCT(--ISNUMBER(SEARCH(SpeakerKW,$K81)))&gt;0)</f>
        <v>0</v>
      </c>
      <c r="Q81" s="31" t="b">
        <f aca="false">IF($B81="","",OR(SUMPRODUCT(--ISNUMBER(SEARCH(EmptyKW,$K81)))&gt;0,LOWER(TRIM($F81))="empty"))</f>
        <v>0</v>
      </c>
      <c r="R81" s="31" t="b">
        <f aca="false">IF($B81="","",OR(ISNUMBER(SEARCH("repair",$G81)),ISNUMBER(SEARCH("not working",$G81))))</f>
        <v>0</v>
      </c>
      <c r="S81" s="26" t="str">
        <f aca="false">IF(AND($B81&lt;&gt;"",$M81=TRUE(),$L81=FALSE(),$Q81=FALSE()),COUNTIFS($M$3:$M81,TRUE(),$L$3:$L81,FALSE(),$Q$3:$Q81,FALSE()),"")</f>
        <v/>
      </c>
      <c r="T81" s="26" t="str">
        <f aca="false">IF($B81="","",IF($Q81=TRUE(),"U1",IF($L81=TRUE(),"S1",IF($M81=TRUE(),"D"&amp;MIN(4,INT(($S81-1)/DisplayCapacity)+1),IF($N81=TRUE(),"K1",IF($O81=TRUE(),"P1",IF($P81=TRUE(),"U1",IF($R81=TRUE(),"U1","W"))))))))</f>
        <v>W</v>
      </c>
      <c r="U81" s="26" t="str">
        <f aca="false">IF($T81="","",$T81&amp;"-"&amp;COUNTIF($T$3:T81,$T81))</f>
        <v>W-43</v>
      </c>
      <c r="V81" s="26" t="str">
        <f aca="false">IF($B81="","",_xlfn.TEXTJOIN(" | ",TRUE(),IF($Q81=TRUE(),"Empty box - no physical device, verify status",""),IF(AND($P81=TRUE(),$L81=FALSE(),$M81=FALSE(),$N81=FALSE(),$O81=FALSE(),$Q81=FALSE()),"Speaker fault only - needs manual box assignment",""),IF(AND($R81=TRUE(),$L81=FALSE(),$M81=FALSE(),$N81=FALSE(),$O81=FALSE(),$P81=FALSE(),$Q81=FALSE()),"No fault detail given - needs technician inspection",""),IF(AND(COUNTIF($F$3:$F$252,$F81)&gt;1,LOWER(TRIM($F81))&lt;&gt;"empty"),"Duplicate Serial No - verify device identity",""),IF((--$L81+--$M81+--$N81+--$O81+--$P81)&gt;1,"Multiple fault types detected - review full details before repair","")))</f>
        <v/>
      </c>
      <c r="W81" s="26" t="n">
        <v>0</v>
      </c>
      <c r="X81" s="26"/>
    </row>
    <row r="82" customFormat="false" ht="15" hidden="false" customHeight="true" outlineLevel="0" collapsed="false">
      <c r="A82" s="32" t="n">
        <v>80</v>
      </c>
      <c r="B82" s="33" t="n">
        <v>46244.6234640509</v>
      </c>
      <c r="C82" s="32" t="s">
        <v>90</v>
      </c>
      <c r="D82" s="32" t="str">
        <f aca="false">IF($B82="","",IFERROR(VLOOKUP(TRIM($C82),ModelMap,2,FALSE()),TRIM($C82)))</f>
        <v>X628</v>
      </c>
      <c r="E82" s="32" t="s">
        <v>314</v>
      </c>
      <c r="F82" s="32" t="s">
        <v>315</v>
      </c>
      <c r="G82" s="32" t="s">
        <v>132</v>
      </c>
      <c r="H82" s="32"/>
      <c r="I82" s="32"/>
      <c r="J82" s="32" t="s">
        <v>129</v>
      </c>
      <c r="K82" s="32" t="str">
        <f aca="false">IF($B82="","",LOWER(TRIM($G82)&amp;" | "&amp;TRIM($H82)&amp;" | "&amp;TRIM($I82)))</f>
        <v>working |  | </v>
      </c>
      <c r="L82" s="34" t="b">
        <f aca="false">IF($B82="","",SUMPRODUCT(--ISNUMBER(SEARCH(SensorKW,$K82)))&gt;0)</f>
        <v>0</v>
      </c>
      <c r="M82" s="34" t="b">
        <f aca="false">IF($B82="","",SUMPRODUCT(--ISNUMBER(SEARCH(DisplayKW,$K82)))&gt;0)</f>
        <v>0</v>
      </c>
      <c r="N82" s="34" t="b">
        <f aca="false">IF($B82="","",SUMPRODUCT(--ISNUMBER(SEARCH(KeypadKW,$K82)))&gt;0)</f>
        <v>0</v>
      </c>
      <c r="O82" s="34" t="b">
        <f aca="false">IF($B82="","",SUMPRODUCT(--ISNUMBER(SEARCH(PowerKW,$K82)))&gt;0)</f>
        <v>0</v>
      </c>
      <c r="P82" s="34" t="b">
        <f aca="false">IF($B82="","",SUMPRODUCT(--ISNUMBER(SEARCH(SpeakerKW,$K82)))&gt;0)</f>
        <v>0</v>
      </c>
      <c r="Q82" s="34" t="b">
        <f aca="false">IF($B82="","",OR(SUMPRODUCT(--ISNUMBER(SEARCH(EmptyKW,$K82)))&gt;0,LOWER(TRIM($F82))="empty"))</f>
        <v>0</v>
      </c>
      <c r="R82" s="34" t="b">
        <f aca="false">IF($B82="","",OR(ISNUMBER(SEARCH("repair",$G82)),ISNUMBER(SEARCH("not working",$G82))))</f>
        <v>0</v>
      </c>
      <c r="S82" s="32" t="str">
        <f aca="false">IF(AND($B82&lt;&gt;"",$M82=TRUE(),$L82=FALSE(),$Q82=FALSE()),COUNTIFS($M$3:$M82,TRUE(),$L$3:$L82,FALSE(),$Q$3:$Q82,FALSE()),"")</f>
        <v/>
      </c>
      <c r="T82" s="32" t="str">
        <f aca="false">IF($B82="","",IF($Q82=TRUE(),"U1",IF($L82=TRUE(),"S1",IF($M82=TRUE(),"D"&amp;MIN(4,INT(($S82-1)/DisplayCapacity)+1),IF($N82=TRUE(),"K1",IF($O82=TRUE(),"P1",IF($P82=TRUE(),"U1",IF($R82=TRUE(),"U1","W"))))))))</f>
        <v>W</v>
      </c>
      <c r="U82" s="32" t="str">
        <f aca="false">IF($T82="","",$T82&amp;"-"&amp;COUNTIF($T$3:T82,$T82))</f>
        <v>W-44</v>
      </c>
      <c r="V82" s="32" t="str">
        <f aca="false">IF($B82="","",_xlfn.TEXTJOIN(" | ",TRUE(),IF($Q82=TRUE(),"Empty box - no physical device, verify status",""),IF(AND($P82=TRUE(),$L82=FALSE(),$M82=FALSE(),$N82=FALSE(),$O82=FALSE(),$Q82=FALSE()),"Speaker fault only - needs manual box assignment",""),IF(AND($R82=TRUE(),$L82=FALSE(),$M82=FALSE(),$N82=FALSE(),$O82=FALSE(),$P82=FALSE(),$Q82=FALSE()),"No fault detail given - needs technician inspection",""),IF(AND(COUNTIF($F$3:$F$252,$F82)&gt;1,LOWER(TRIM($F82))&lt;&gt;"empty"),"Duplicate Serial No - verify device identity",""),IF((--$L82+--$M82+--$N82+--$O82+--$P82)&gt;1,"Multiple fault types detected - review full details before repair","")))</f>
        <v/>
      </c>
      <c r="W82" s="32" t="n">
        <v>0</v>
      </c>
      <c r="X82" s="32"/>
    </row>
    <row r="83" customFormat="false" ht="15" hidden="false" customHeight="true" outlineLevel="0" collapsed="false">
      <c r="A83" s="26" t="n">
        <v>81</v>
      </c>
      <c r="B83" s="30" t="n">
        <v>46244.6251400695</v>
      </c>
      <c r="C83" s="26" t="s">
        <v>90</v>
      </c>
      <c r="D83" s="26" t="str">
        <f aca="false">IF($B83="","",IFERROR(VLOOKUP(TRIM($C83),ModelMap,2,FALSE()),TRIM($C83)))</f>
        <v>X628</v>
      </c>
      <c r="E83" s="26" t="s">
        <v>316</v>
      </c>
      <c r="F83" s="26" t="s">
        <v>317</v>
      </c>
      <c r="G83" s="26" t="s">
        <v>132</v>
      </c>
      <c r="H83" s="26"/>
      <c r="I83" s="26"/>
      <c r="J83" s="26" t="s">
        <v>129</v>
      </c>
      <c r="K83" s="26" t="str">
        <f aca="false">IF($B83="","",LOWER(TRIM($G83)&amp;" | "&amp;TRIM($H83)&amp;" | "&amp;TRIM($I83)))</f>
        <v>working |  | </v>
      </c>
      <c r="L83" s="31" t="b">
        <f aca="false">IF($B83="","",SUMPRODUCT(--ISNUMBER(SEARCH(SensorKW,$K83)))&gt;0)</f>
        <v>0</v>
      </c>
      <c r="M83" s="31" t="b">
        <f aca="false">IF($B83="","",SUMPRODUCT(--ISNUMBER(SEARCH(DisplayKW,$K83)))&gt;0)</f>
        <v>0</v>
      </c>
      <c r="N83" s="31" t="b">
        <f aca="false">IF($B83="","",SUMPRODUCT(--ISNUMBER(SEARCH(KeypadKW,$K83)))&gt;0)</f>
        <v>0</v>
      </c>
      <c r="O83" s="31" t="b">
        <f aca="false">IF($B83="","",SUMPRODUCT(--ISNUMBER(SEARCH(PowerKW,$K83)))&gt;0)</f>
        <v>0</v>
      </c>
      <c r="P83" s="31" t="b">
        <f aca="false">IF($B83="","",SUMPRODUCT(--ISNUMBER(SEARCH(SpeakerKW,$K83)))&gt;0)</f>
        <v>0</v>
      </c>
      <c r="Q83" s="31" t="b">
        <f aca="false">IF($B83="","",OR(SUMPRODUCT(--ISNUMBER(SEARCH(EmptyKW,$K83)))&gt;0,LOWER(TRIM($F83))="empty"))</f>
        <v>0</v>
      </c>
      <c r="R83" s="31" t="b">
        <f aca="false">IF($B83="","",OR(ISNUMBER(SEARCH("repair",$G83)),ISNUMBER(SEARCH("not working",$G83))))</f>
        <v>0</v>
      </c>
      <c r="S83" s="26" t="str">
        <f aca="false">IF(AND($B83&lt;&gt;"",$M83=TRUE(),$L83=FALSE(),$Q83=FALSE()),COUNTIFS($M$3:$M83,TRUE(),$L$3:$L83,FALSE(),$Q$3:$Q83,FALSE()),"")</f>
        <v/>
      </c>
      <c r="T83" s="26" t="str">
        <f aca="false">IF($B83="","",IF($Q83=TRUE(),"U1",IF($L83=TRUE(),"S1",IF($M83=TRUE(),"D"&amp;MIN(4,INT(($S83-1)/DisplayCapacity)+1),IF($N83=TRUE(),"K1",IF($O83=TRUE(),"P1",IF($P83=TRUE(),"U1",IF($R83=TRUE(),"U1","W"))))))))</f>
        <v>W</v>
      </c>
      <c r="U83" s="26" t="str">
        <f aca="false">IF($T83="","",$T83&amp;"-"&amp;COUNTIF($T$3:T83,$T83))</f>
        <v>W-45</v>
      </c>
      <c r="V83" s="26" t="str">
        <f aca="false">IF($B83="","",_xlfn.TEXTJOIN(" | ",TRUE(),IF($Q83=TRUE(),"Empty box - no physical device, verify status",""),IF(AND($P83=TRUE(),$L83=FALSE(),$M83=FALSE(),$N83=FALSE(),$O83=FALSE(),$Q83=FALSE()),"Speaker fault only - needs manual box assignment",""),IF(AND($R83=TRUE(),$L83=FALSE(),$M83=FALSE(),$N83=FALSE(),$O83=FALSE(),$P83=FALSE(),$Q83=FALSE()),"No fault detail given - needs technician inspection",""),IF(AND(COUNTIF($F$3:$F$252,$F83)&gt;1,LOWER(TRIM($F83))&lt;&gt;"empty"),"Duplicate Serial No - verify device identity",""),IF((--$L83+--$M83+--$N83+--$O83+--$P83)&gt;1,"Multiple fault types detected - review full details before repair","")))</f>
        <v/>
      </c>
      <c r="W83" s="26" t="n">
        <v>0</v>
      </c>
      <c r="X83" s="26"/>
    </row>
    <row r="84" customFormat="false" ht="15" hidden="false" customHeight="true" outlineLevel="0" collapsed="false">
      <c r="A84" s="32" t="n">
        <v>82</v>
      </c>
      <c r="B84" s="33" t="n">
        <v>46244.6284003588</v>
      </c>
      <c r="C84" s="32" t="s">
        <v>90</v>
      </c>
      <c r="D84" s="32" t="str">
        <f aca="false">IF($B84="","",IFERROR(VLOOKUP(TRIM($C84),ModelMap,2,FALSE()),TRIM($C84)))</f>
        <v>X628</v>
      </c>
      <c r="E84" s="32" t="s">
        <v>318</v>
      </c>
      <c r="F84" s="32" t="s">
        <v>319</v>
      </c>
      <c r="G84" s="32" t="s">
        <v>132</v>
      </c>
      <c r="H84" s="32"/>
      <c r="I84" s="32" t="s">
        <v>320</v>
      </c>
      <c r="J84" s="32" t="s">
        <v>129</v>
      </c>
      <c r="K84" s="32" t="str">
        <f aca="false">IF($B84="","",LOWER(TRIM($G84)&amp;" | "&amp;TRIM($H84)&amp;" | "&amp;TRIM($I84)))</f>
        <v>working |  | display is unclear</v>
      </c>
      <c r="L84" s="34" t="b">
        <f aca="false">IF($B84="","",SUMPRODUCT(--ISNUMBER(SEARCH(SensorKW,$K84)))&gt;0)</f>
        <v>0</v>
      </c>
      <c r="M84" s="34" t="b">
        <f aca="false">IF($B84="","",SUMPRODUCT(--ISNUMBER(SEARCH(DisplayKW,$K84)))&gt;0)</f>
        <v>1</v>
      </c>
      <c r="N84" s="34" t="b">
        <f aca="false">IF($B84="","",SUMPRODUCT(--ISNUMBER(SEARCH(KeypadKW,$K84)))&gt;0)</f>
        <v>0</v>
      </c>
      <c r="O84" s="34" t="b">
        <f aca="false">IF($B84="","",SUMPRODUCT(--ISNUMBER(SEARCH(PowerKW,$K84)))&gt;0)</f>
        <v>0</v>
      </c>
      <c r="P84" s="34" t="b">
        <f aca="false">IF($B84="","",SUMPRODUCT(--ISNUMBER(SEARCH(SpeakerKW,$K84)))&gt;0)</f>
        <v>0</v>
      </c>
      <c r="Q84" s="34" t="b">
        <f aca="false">IF($B84="","",OR(SUMPRODUCT(--ISNUMBER(SEARCH(EmptyKW,$K84)))&gt;0,LOWER(TRIM($F84))="empty"))</f>
        <v>0</v>
      </c>
      <c r="R84" s="34" t="b">
        <f aca="false">IF($B84="","",OR(ISNUMBER(SEARCH("repair",$G84)),ISNUMBER(SEARCH("not working",$G84))))</f>
        <v>0</v>
      </c>
      <c r="S84" s="32" t="n">
        <f aca="false">IF(AND($B84&lt;&gt;"",$M84=TRUE(),$L84=FALSE(),$Q84=FALSE()),COUNTIFS($M$3:$M84,TRUE(),$L$3:$L84,FALSE(),$Q$3:$Q84,FALSE()),"")</f>
        <v>13</v>
      </c>
      <c r="T84" s="32" t="str">
        <f aca="false">IF($B84="","",IF($Q84=TRUE(),"U1",IF($L84=TRUE(),"S1",IF($M84=TRUE(),"D"&amp;MIN(4,INT(($S84-1)/DisplayCapacity)+1),IF($N84=TRUE(),"K1",IF($O84=TRUE(),"P1",IF($P84=TRUE(),"U1",IF($R84=TRUE(),"U1","W"))))))))</f>
        <v>D2</v>
      </c>
      <c r="U84" s="32" t="str">
        <f aca="false">IF($T84="","",$T84&amp;"-"&amp;COUNTIF($T$3:T84,$T84))</f>
        <v>D2-6</v>
      </c>
      <c r="V84" s="32" t="str">
        <f aca="false">IF($B84="","",_xlfn.TEXTJOIN(" | ",TRUE(),IF($Q84=TRUE(),"Empty box - no physical device, verify status",""),IF(AND($P84=TRUE(),$L84=FALSE(),$M84=FALSE(),$N84=FALSE(),$O84=FALSE(),$Q84=FALSE()),"Speaker fault only - needs manual box assignment",""),IF(AND($R84=TRUE(),$L84=FALSE(),$M84=FALSE(),$N84=FALSE(),$O84=FALSE(),$P84=FALSE(),$Q84=FALSE()),"No fault detail given - needs technician inspection",""),IF(AND(COUNTIF($F$3:$F$252,$F84)&gt;1,LOWER(TRIM($F84))&lt;&gt;"empty"),"Duplicate Serial No - verify device identity",""),IF((--$L84+--$M84+--$N84+--$O84+--$P84)&gt;1,"Multiple fault types detected - review full details before repair","")))</f>
        <v/>
      </c>
      <c r="W84" s="32" t="n">
        <v>0</v>
      </c>
      <c r="X84" s="32"/>
    </row>
    <row r="85" customFormat="false" ht="15" hidden="false" customHeight="true" outlineLevel="0" collapsed="false">
      <c r="A85" s="26" t="n">
        <v>83</v>
      </c>
      <c r="B85" s="30" t="n">
        <v>46244.6290298148</v>
      </c>
      <c r="C85" s="26" t="s">
        <v>90</v>
      </c>
      <c r="D85" s="26" t="str">
        <f aca="false">IF($B85="","",IFERROR(VLOOKUP(TRIM($C85),ModelMap,2,FALSE()),TRIM($C85)))</f>
        <v>X628</v>
      </c>
      <c r="E85" s="26" t="s">
        <v>321</v>
      </c>
      <c r="F85" s="26" t="s">
        <v>322</v>
      </c>
      <c r="G85" s="26" t="s">
        <v>132</v>
      </c>
      <c r="H85" s="26"/>
      <c r="I85" s="26"/>
      <c r="J85" s="26" t="s">
        <v>129</v>
      </c>
      <c r="K85" s="26" t="str">
        <f aca="false">IF($B85="","",LOWER(TRIM($G85)&amp;" | "&amp;TRIM($H85)&amp;" | "&amp;TRIM($I85)))</f>
        <v>working |  | </v>
      </c>
      <c r="L85" s="31" t="b">
        <f aca="false">IF($B85="","",SUMPRODUCT(--ISNUMBER(SEARCH(SensorKW,$K85)))&gt;0)</f>
        <v>0</v>
      </c>
      <c r="M85" s="31" t="b">
        <f aca="false">IF($B85="","",SUMPRODUCT(--ISNUMBER(SEARCH(DisplayKW,$K85)))&gt;0)</f>
        <v>0</v>
      </c>
      <c r="N85" s="31" t="b">
        <f aca="false">IF($B85="","",SUMPRODUCT(--ISNUMBER(SEARCH(KeypadKW,$K85)))&gt;0)</f>
        <v>0</v>
      </c>
      <c r="O85" s="31" t="b">
        <f aca="false">IF($B85="","",SUMPRODUCT(--ISNUMBER(SEARCH(PowerKW,$K85)))&gt;0)</f>
        <v>0</v>
      </c>
      <c r="P85" s="31" t="b">
        <f aca="false">IF($B85="","",SUMPRODUCT(--ISNUMBER(SEARCH(SpeakerKW,$K85)))&gt;0)</f>
        <v>0</v>
      </c>
      <c r="Q85" s="31" t="b">
        <f aca="false">IF($B85="","",OR(SUMPRODUCT(--ISNUMBER(SEARCH(EmptyKW,$K85)))&gt;0,LOWER(TRIM($F85))="empty"))</f>
        <v>0</v>
      </c>
      <c r="R85" s="31" t="b">
        <f aca="false">IF($B85="","",OR(ISNUMBER(SEARCH("repair",$G85)),ISNUMBER(SEARCH("not working",$G85))))</f>
        <v>0</v>
      </c>
      <c r="S85" s="26" t="str">
        <f aca="false">IF(AND($B85&lt;&gt;"",$M85=TRUE(),$L85=FALSE(),$Q85=FALSE()),COUNTIFS($M$3:$M85,TRUE(),$L$3:$L85,FALSE(),$Q$3:$Q85,FALSE()),"")</f>
        <v/>
      </c>
      <c r="T85" s="26" t="str">
        <f aca="false">IF($B85="","",IF($Q85=TRUE(),"U1",IF($L85=TRUE(),"S1",IF($M85=TRUE(),"D"&amp;MIN(4,INT(($S85-1)/DisplayCapacity)+1),IF($N85=TRUE(),"K1",IF($O85=TRUE(),"P1",IF($P85=TRUE(),"U1",IF($R85=TRUE(),"U1","W"))))))))</f>
        <v>W</v>
      </c>
      <c r="U85" s="26" t="str">
        <f aca="false">IF($T85="","",$T85&amp;"-"&amp;COUNTIF($T$3:T85,$T85))</f>
        <v>W-46</v>
      </c>
      <c r="V85" s="26" t="str">
        <f aca="false">IF($B85="","",_xlfn.TEXTJOIN(" | ",TRUE(),IF($Q85=TRUE(),"Empty box - no physical device, verify status",""),IF(AND($P85=TRUE(),$L85=FALSE(),$M85=FALSE(),$N85=FALSE(),$O85=FALSE(),$Q85=FALSE()),"Speaker fault only - needs manual box assignment",""),IF(AND($R85=TRUE(),$L85=FALSE(),$M85=FALSE(),$N85=FALSE(),$O85=FALSE(),$P85=FALSE(),$Q85=FALSE()),"No fault detail given - needs technician inspection",""),IF(AND(COUNTIF($F$3:$F$252,$F85)&gt;1,LOWER(TRIM($F85))&lt;&gt;"empty"),"Duplicate Serial No - verify device identity",""),IF((--$L85+--$M85+--$N85+--$O85+--$P85)&gt;1,"Multiple fault types detected - review full details before repair","")))</f>
        <v/>
      </c>
      <c r="W85" s="26" t="n">
        <v>0</v>
      </c>
      <c r="X85" s="26"/>
    </row>
    <row r="86" customFormat="false" ht="15" hidden="false" customHeight="true" outlineLevel="0" collapsed="false">
      <c r="A86" s="32" t="n">
        <v>84</v>
      </c>
      <c r="B86" s="33" t="n">
        <v>46244.6314412732</v>
      </c>
      <c r="C86" s="32" t="s">
        <v>90</v>
      </c>
      <c r="D86" s="32" t="str">
        <f aca="false">IF($B86="","",IFERROR(VLOOKUP(TRIM($C86),ModelMap,2,FALSE()),TRIM($C86)))</f>
        <v>X628</v>
      </c>
      <c r="E86" s="32" t="s">
        <v>323</v>
      </c>
      <c r="F86" s="32" t="s">
        <v>324</v>
      </c>
      <c r="G86" s="32" t="s">
        <v>132</v>
      </c>
      <c r="H86" s="32"/>
      <c r="I86" s="32"/>
      <c r="J86" s="32" t="s">
        <v>129</v>
      </c>
      <c r="K86" s="32" t="str">
        <f aca="false">IF($B86="","",LOWER(TRIM($G86)&amp;" | "&amp;TRIM($H86)&amp;" | "&amp;TRIM($I86)))</f>
        <v>working |  | </v>
      </c>
      <c r="L86" s="34" t="b">
        <f aca="false">IF($B86="","",SUMPRODUCT(--ISNUMBER(SEARCH(SensorKW,$K86)))&gt;0)</f>
        <v>0</v>
      </c>
      <c r="M86" s="34" t="b">
        <f aca="false">IF($B86="","",SUMPRODUCT(--ISNUMBER(SEARCH(DisplayKW,$K86)))&gt;0)</f>
        <v>0</v>
      </c>
      <c r="N86" s="34" t="b">
        <f aca="false">IF($B86="","",SUMPRODUCT(--ISNUMBER(SEARCH(KeypadKW,$K86)))&gt;0)</f>
        <v>0</v>
      </c>
      <c r="O86" s="34" t="b">
        <f aca="false">IF($B86="","",SUMPRODUCT(--ISNUMBER(SEARCH(PowerKW,$K86)))&gt;0)</f>
        <v>0</v>
      </c>
      <c r="P86" s="34" t="b">
        <f aca="false">IF($B86="","",SUMPRODUCT(--ISNUMBER(SEARCH(SpeakerKW,$K86)))&gt;0)</f>
        <v>0</v>
      </c>
      <c r="Q86" s="34" t="b">
        <f aca="false">IF($B86="","",OR(SUMPRODUCT(--ISNUMBER(SEARCH(EmptyKW,$K86)))&gt;0,LOWER(TRIM($F86))="empty"))</f>
        <v>0</v>
      </c>
      <c r="R86" s="34" t="b">
        <f aca="false">IF($B86="","",OR(ISNUMBER(SEARCH("repair",$G86)),ISNUMBER(SEARCH("not working",$G86))))</f>
        <v>0</v>
      </c>
      <c r="S86" s="32" t="str">
        <f aca="false">IF(AND($B86&lt;&gt;"",$M86=TRUE(),$L86=FALSE(),$Q86=FALSE()),COUNTIFS($M$3:$M86,TRUE(),$L$3:$L86,FALSE(),$Q$3:$Q86,FALSE()),"")</f>
        <v/>
      </c>
      <c r="T86" s="32" t="str">
        <f aca="false">IF($B86="","",IF($Q86=TRUE(),"U1",IF($L86=TRUE(),"S1",IF($M86=TRUE(),"D"&amp;MIN(4,INT(($S86-1)/DisplayCapacity)+1),IF($N86=TRUE(),"K1",IF($O86=TRUE(),"P1",IF($P86=TRUE(),"U1",IF($R86=TRUE(),"U1","W"))))))))</f>
        <v>W</v>
      </c>
      <c r="U86" s="32" t="str">
        <f aca="false">IF($T86="","",$T86&amp;"-"&amp;COUNTIF($T$3:T86,$T86))</f>
        <v>W-47</v>
      </c>
      <c r="V86" s="32" t="str">
        <f aca="false">IF($B86="","",_xlfn.TEXTJOIN(" | ",TRUE(),IF($Q86=TRUE(),"Empty box - no physical device, verify status",""),IF(AND($P86=TRUE(),$L86=FALSE(),$M86=FALSE(),$N86=FALSE(),$O86=FALSE(),$Q86=FALSE()),"Speaker fault only - needs manual box assignment",""),IF(AND($R86=TRUE(),$L86=FALSE(),$M86=FALSE(),$N86=FALSE(),$O86=FALSE(),$P86=FALSE(),$Q86=FALSE()),"No fault detail given - needs technician inspection",""),IF(AND(COUNTIF($F$3:$F$252,$F86)&gt;1,LOWER(TRIM($F86))&lt;&gt;"empty"),"Duplicate Serial No - verify device identity",""),IF((--$L86+--$M86+--$N86+--$O86+--$P86)&gt;1,"Multiple fault types detected - review full details before repair","")))</f>
        <v>Duplicate Serial No - verify device identity</v>
      </c>
      <c r="W86" s="32" t="n">
        <v>0</v>
      </c>
      <c r="X86" s="32"/>
    </row>
    <row r="87" customFormat="false" ht="15" hidden="false" customHeight="true" outlineLevel="0" collapsed="false">
      <c r="A87" s="26" t="n">
        <v>85</v>
      </c>
      <c r="B87" s="30" t="n">
        <v>46244.6316115162</v>
      </c>
      <c r="C87" s="26" t="s">
        <v>90</v>
      </c>
      <c r="D87" s="26" t="str">
        <f aca="false">IF($B87="","",IFERROR(VLOOKUP(TRIM($C87),ModelMap,2,FALSE()),TRIM($C87)))</f>
        <v>X628</v>
      </c>
      <c r="E87" s="26" t="s">
        <v>325</v>
      </c>
      <c r="F87" s="26" t="s">
        <v>190</v>
      </c>
      <c r="G87" s="26" t="s">
        <v>132</v>
      </c>
      <c r="H87" s="26"/>
      <c r="I87" s="26"/>
      <c r="J87" s="26" t="s">
        <v>129</v>
      </c>
      <c r="K87" s="26" t="str">
        <f aca="false">IF($B87="","",LOWER(TRIM($G87)&amp;" | "&amp;TRIM($H87)&amp;" | "&amp;TRIM($I87)))</f>
        <v>working |  | </v>
      </c>
      <c r="L87" s="31" t="b">
        <f aca="false">IF($B87="","",SUMPRODUCT(--ISNUMBER(SEARCH(SensorKW,$K87)))&gt;0)</f>
        <v>0</v>
      </c>
      <c r="M87" s="31" t="b">
        <f aca="false">IF($B87="","",SUMPRODUCT(--ISNUMBER(SEARCH(DisplayKW,$K87)))&gt;0)</f>
        <v>0</v>
      </c>
      <c r="N87" s="31" t="b">
        <f aca="false">IF($B87="","",SUMPRODUCT(--ISNUMBER(SEARCH(KeypadKW,$K87)))&gt;0)</f>
        <v>0</v>
      </c>
      <c r="O87" s="31" t="b">
        <f aca="false">IF($B87="","",SUMPRODUCT(--ISNUMBER(SEARCH(PowerKW,$K87)))&gt;0)</f>
        <v>0</v>
      </c>
      <c r="P87" s="31" t="b">
        <f aca="false">IF($B87="","",SUMPRODUCT(--ISNUMBER(SEARCH(SpeakerKW,$K87)))&gt;0)</f>
        <v>0</v>
      </c>
      <c r="Q87" s="31" t="b">
        <f aca="false">IF($B87="","",OR(SUMPRODUCT(--ISNUMBER(SEARCH(EmptyKW,$K87)))&gt;0,LOWER(TRIM($F87))="empty"))</f>
        <v>0</v>
      </c>
      <c r="R87" s="31" t="b">
        <f aca="false">IF($B87="","",OR(ISNUMBER(SEARCH("repair",$G87)),ISNUMBER(SEARCH("not working",$G87))))</f>
        <v>0</v>
      </c>
      <c r="S87" s="26" t="str">
        <f aca="false">IF(AND($B87&lt;&gt;"",$M87=TRUE(),$L87=FALSE(),$Q87=FALSE()),COUNTIFS($M$3:$M87,TRUE(),$L$3:$L87,FALSE(),$Q$3:$Q87,FALSE()),"")</f>
        <v/>
      </c>
      <c r="T87" s="26" t="str">
        <f aca="false">IF($B87="","",IF($Q87=TRUE(),"U1",IF($L87=TRUE(),"S1",IF($M87=TRUE(),"D"&amp;MIN(4,INT(($S87-1)/DisplayCapacity)+1),IF($N87=TRUE(),"K1",IF($O87=TRUE(),"P1",IF($P87=TRUE(),"U1",IF($R87=TRUE(),"U1","W"))))))))</f>
        <v>W</v>
      </c>
      <c r="U87" s="26" t="str">
        <f aca="false">IF($T87="","",$T87&amp;"-"&amp;COUNTIF($T$3:T87,$T87))</f>
        <v>W-48</v>
      </c>
      <c r="V87" s="26" t="str">
        <f aca="false">IF($B87="","",_xlfn.TEXTJOIN(" | ",TRUE(),IF($Q87=TRUE(),"Empty box - no physical device, verify status",""),IF(AND($P87=TRUE(),$L87=FALSE(),$M87=FALSE(),$N87=FALSE(),$O87=FALSE(),$Q87=FALSE()),"Speaker fault only - needs manual box assignment",""),IF(AND($R87=TRUE(),$L87=FALSE(),$M87=FALSE(),$N87=FALSE(),$O87=FALSE(),$P87=FALSE(),$Q87=FALSE()),"No fault detail given - needs technician inspection",""),IF(AND(COUNTIF($F$3:$F$252,$F87)&gt;1,LOWER(TRIM($F87))&lt;&gt;"empty"),"Duplicate Serial No - verify device identity",""),IF((--$L87+--$M87+--$N87+--$O87+--$P87)&gt;1,"Multiple fault types detected - review full details before repair","")))</f>
        <v>Duplicate Serial No - verify device identity</v>
      </c>
      <c r="W87" s="26" t="n">
        <v>0</v>
      </c>
      <c r="X87" s="26"/>
    </row>
    <row r="88" customFormat="false" ht="15" hidden="false" customHeight="true" outlineLevel="0" collapsed="false">
      <c r="A88" s="32" t="n">
        <v>86</v>
      </c>
      <c r="B88" s="33" t="n">
        <v>46244.6344067593</v>
      </c>
      <c r="C88" s="32" t="s">
        <v>90</v>
      </c>
      <c r="D88" s="32" t="str">
        <f aca="false">IF($B88="","",IFERROR(VLOOKUP(TRIM($C88),ModelMap,2,FALSE()),TRIM($C88)))</f>
        <v>X628</v>
      </c>
      <c r="E88" s="32" t="s">
        <v>326</v>
      </c>
      <c r="F88" s="32" t="s">
        <v>327</v>
      </c>
      <c r="G88" s="32" t="s">
        <v>132</v>
      </c>
      <c r="H88" s="32"/>
      <c r="I88" s="32" t="s">
        <v>164</v>
      </c>
      <c r="J88" s="32" t="s">
        <v>129</v>
      </c>
      <c r="K88" s="32" t="str">
        <f aca="false">IF($B88="","",LOWER(TRIM($G88)&amp;" | "&amp;TRIM($H88)&amp;" | "&amp;TRIM($I88)))</f>
        <v>working |  | display is not clear</v>
      </c>
      <c r="L88" s="34" t="b">
        <f aca="false">IF($B88="","",SUMPRODUCT(--ISNUMBER(SEARCH(SensorKW,$K88)))&gt;0)</f>
        <v>0</v>
      </c>
      <c r="M88" s="34" t="b">
        <f aca="false">IF($B88="","",SUMPRODUCT(--ISNUMBER(SEARCH(DisplayKW,$K88)))&gt;0)</f>
        <v>1</v>
      </c>
      <c r="N88" s="34" t="b">
        <f aca="false">IF($B88="","",SUMPRODUCT(--ISNUMBER(SEARCH(KeypadKW,$K88)))&gt;0)</f>
        <v>0</v>
      </c>
      <c r="O88" s="34" t="b">
        <f aca="false">IF($B88="","",SUMPRODUCT(--ISNUMBER(SEARCH(PowerKW,$K88)))&gt;0)</f>
        <v>0</v>
      </c>
      <c r="P88" s="34" t="b">
        <f aca="false">IF($B88="","",SUMPRODUCT(--ISNUMBER(SEARCH(SpeakerKW,$K88)))&gt;0)</f>
        <v>0</v>
      </c>
      <c r="Q88" s="34" t="b">
        <f aca="false">IF($B88="","",OR(SUMPRODUCT(--ISNUMBER(SEARCH(EmptyKW,$K88)))&gt;0,LOWER(TRIM($F88))="empty"))</f>
        <v>0</v>
      </c>
      <c r="R88" s="34" t="b">
        <f aca="false">IF($B88="","",OR(ISNUMBER(SEARCH("repair",$G88)),ISNUMBER(SEARCH("not working",$G88))))</f>
        <v>0</v>
      </c>
      <c r="S88" s="32" t="n">
        <f aca="false">IF(AND($B88&lt;&gt;"",$M88=TRUE(),$L88=FALSE(),$Q88=FALSE()),COUNTIFS($M$3:$M88,TRUE(),$L$3:$L88,FALSE(),$Q$3:$Q88,FALSE()),"")</f>
        <v>14</v>
      </c>
      <c r="T88" s="32" t="str">
        <f aca="false">IF($B88="","",IF($Q88=TRUE(),"U1",IF($L88=TRUE(),"S1",IF($M88=TRUE(),"D"&amp;MIN(4,INT(($S88-1)/DisplayCapacity)+1),IF($N88=TRUE(),"K1",IF($O88=TRUE(),"P1",IF($P88=TRUE(),"U1",IF($R88=TRUE(),"U1","W"))))))))</f>
        <v>D2</v>
      </c>
      <c r="U88" s="32" t="str">
        <f aca="false">IF($T88="","",$T88&amp;"-"&amp;COUNTIF($T$3:T88,$T88))</f>
        <v>D2-7</v>
      </c>
      <c r="V88" s="32" t="str">
        <f aca="false">IF($B88="","",_xlfn.TEXTJOIN(" | ",TRUE(),IF($Q88=TRUE(),"Empty box - no physical device, verify status",""),IF(AND($P88=TRUE(),$L88=FALSE(),$M88=FALSE(),$N88=FALSE(),$O88=FALSE(),$Q88=FALSE()),"Speaker fault only - needs manual box assignment",""),IF(AND($R88=TRUE(),$L88=FALSE(),$M88=FALSE(),$N88=FALSE(),$O88=FALSE(),$P88=FALSE(),$Q88=FALSE()),"No fault detail given - needs technician inspection",""),IF(AND(COUNTIF($F$3:$F$252,$F88)&gt;1,LOWER(TRIM($F88))&lt;&gt;"empty"),"Duplicate Serial No - verify device identity",""),IF((--$L88+--$M88+--$N88+--$O88+--$P88)&gt;1,"Multiple fault types detected - review full details before repair","")))</f>
        <v/>
      </c>
      <c r="W88" s="32" t="n">
        <v>0</v>
      </c>
      <c r="X88" s="32"/>
    </row>
    <row r="89" customFormat="false" ht="15" hidden="false" customHeight="true" outlineLevel="0" collapsed="false">
      <c r="A89" s="26" t="n">
        <v>87</v>
      </c>
      <c r="B89" s="30" t="n">
        <v>46244.6344324769</v>
      </c>
      <c r="C89" s="26" t="s">
        <v>90</v>
      </c>
      <c r="D89" s="26" t="str">
        <f aca="false">IF($B89="","",IFERROR(VLOOKUP(TRIM($C89),ModelMap,2,FALSE()),TRIM($C89)))</f>
        <v>X628</v>
      </c>
      <c r="E89" s="26" t="s">
        <v>328</v>
      </c>
      <c r="F89" s="26" t="s">
        <v>329</v>
      </c>
      <c r="G89" s="26" t="s">
        <v>132</v>
      </c>
      <c r="H89" s="26"/>
      <c r="I89" s="26"/>
      <c r="J89" s="26" t="s">
        <v>129</v>
      </c>
      <c r="K89" s="26" t="str">
        <f aca="false">IF($B89="","",LOWER(TRIM($G89)&amp;" | "&amp;TRIM($H89)&amp;" | "&amp;TRIM($I89)))</f>
        <v>working |  | </v>
      </c>
      <c r="L89" s="31" t="b">
        <f aca="false">IF($B89="","",SUMPRODUCT(--ISNUMBER(SEARCH(SensorKW,$K89)))&gt;0)</f>
        <v>0</v>
      </c>
      <c r="M89" s="31" t="b">
        <f aca="false">IF($B89="","",SUMPRODUCT(--ISNUMBER(SEARCH(DisplayKW,$K89)))&gt;0)</f>
        <v>0</v>
      </c>
      <c r="N89" s="31" t="b">
        <f aca="false">IF($B89="","",SUMPRODUCT(--ISNUMBER(SEARCH(KeypadKW,$K89)))&gt;0)</f>
        <v>0</v>
      </c>
      <c r="O89" s="31" t="b">
        <f aca="false">IF($B89="","",SUMPRODUCT(--ISNUMBER(SEARCH(PowerKW,$K89)))&gt;0)</f>
        <v>0</v>
      </c>
      <c r="P89" s="31" t="b">
        <f aca="false">IF($B89="","",SUMPRODUCT(--ISNUMBER(SEARCH(SpeakerKW,$K89)))&gt;0)</f>
        <v>0</v>
      </c>
      <c r="Q89" s="31" t="b">
        <f aca="false">IF($B89="","",OR(SUMPRODUCT(--ISNUMBER(SEARCH(EmptyKW,$K89)))&gt;0,LOWER(TRIM($F89))="empty"))</f>
        <v>0</v>
      </c>
      <c r="R89" s="31" t="b">
        <f aca="false">IF($B89="","",OR(ISNUMBER(SEARCH("repair",$G89)),ISNUMBER(SEARCH("not working",$G89))))</f>
        <v>0</v>
      </c>
      <c r="S89" s="26" t="str">
        <f aca="false">IF(AND($B89&lt;&gt;"",$M89=TRUE(),$L89=FALSE(),$Q89=FALSE()),COUNTIFS($M$3:$M89,TRUE(),$L$3:$L89,FALSE(),$Q$3:$Q89,FALSE()),"")</f>
        <v/>
      </c>
      <c r="T89" s="26" t="str">
        <f aca="false">IF($B89="","",IF($Q89=TRUE(),"U1",IF($L89=TRUE(),"S1",IF($M89=TRUE(),"D"&amp;MIN(4,INT(($S89-1)/DisplayCapacity)+1),IF($N89=TRUE(),"K1",IF($O89=TRUE(),"P1",IF($P89=TRUE(),"U1",IF($R89=TRUE(),"U1","W"))))))))</f>
        <v>W</v>
      </c>
      <c r="U89" s="26" t="str">
        <f aca="false">IF($T89="","",$T89&amp;"-"&amp;COUNTIF($T$3:T89,$T89))</f>
        <v>W-49</v>
      </c>
      <c r="V89" s="26" t="str">
        <f aca="false">IF($B89="","",_xlfn.TEXTJOIN(" | ",TRUE(),IF($Q89=TRUE(),"Empty box - no physical device, verify status",""),IF(AND($P89=TRUE(),$L89=FALSE(),$M89=FALSE(),$N89=FALSE(),$O89=FALSE(),$Q89=FALSE()),"Speaker fault only - needs manual box assignment",""),IF(AND($R89=TRUE(),$L89=FALSE(),$M89=FALSE(),$N89=FALSE(),$O89=FALSE(),$P89=FALSE(),$Q89=FALSE()),"No fault detail given - needs technician inspection",""),IF(AND(COUNTIF($F$3:$F$252,$F89)&gt;1,LOWER(TRIM($F89))&lt;&gt;"empty"),"Duplicate Serial No - verify device identity",""),IF((--$L89+--$M89+--$N89+--$O89+--$P89)&gt;1,"Multiple fault types detected - review full details before repair","")))</f>
        <v/>
      </c>
      <c r="W89" s="26" t="n">
        <v>0</v>
      </c>
      <c r="X89" s="26"/>
    </row>
    <row r="90" customFormat="false" ht="15" hidden="false" customHeight="true" outlineLevel="0" collapsed="false">
      <c r="A90" s="32" t="n">
        <v>88</v>
      </c>
      <c r="B90" s="33" t="n">
        <v>46244.6387347338</v>
      </c>
      <c r="C90" s="32" t="s">
        <v>90</v>
      </c>
      <c r="D90" s="32" t="str">
        <f aca="false">IF($B90="","",IFERROR(VLOOKUP(TRIM($C90),ModelMap,2,FALSE()),TRIM($C90)))</f>
        <v>X628</v>
      </c>
      <c r="E90" s="32" t="s">
        <v>330</v>
      </c>
      <c r="F90" s="32" t="s">
        <v>331</v>
      </c>
      <c r="G90" s="32" t="s">
        <v>132</v>
      </c>
      <c r="H90" s="32"/>
      <c r="I90" s="32" t="s">
        <v>332</v>
      </c>
      <c r="J90" s="32" t="s">
        <v>129</v>
      </c>
      <c r="K90" s="32" t="str">
        <f aca="false">IF($B90="","",LOWER(TRIM($G90)&amp;" | "&amp;TRIM($H90)&amp;" | "&amp;TRIM($I90)))</f>
        <v>working |  | display is little bit un clear</v>
      </c>
      <c r="L90" s="34" t="b">
        <f aca="false">IF($B90="","",SUMPRODUCT(--ISNUMBER(SEARCH(SensorKW,$K90)))&gt;0)</f>
        <v>0</v>
      </c>
      <c r="M90" s="34" t="b">
        <f aca="false">IF($B90="","",SUMPRODUCT(--ISNUMBER(SEARCH(DisplayKW,$K90)))&gt;0)</f>
        <v>1</v>
      </c>
      <c r="N90" s="34" t="b">
        <f aca="false">IF($B90="","",SUMPRODUCT(--ISNUMBER(SEARCH(KeypadKW,$K90)))&gt;0)</f>
        <v>0</v>
      </c>
      <c r="O90" s="34" t="b">
        <f aca="false">IF($B90="","",SUMPRODUCT(--ISNUMBER(SEARCH(PowerKW,$K90)))&gt;0)</f>
        <v>0</v>
      </c>
      <c r="P90" s="34" t="b">
        <f aca="false">IF($B90="","",SUMPRODUCT(--ISNUMBER(SEARCH(SpeakerKW,$K90)))&gt;0)</f>
        <v>0</v>
      </c>
      <c r="Q90" s="34" t="b">
        <f aca="false">IF($B90="","",OR(SUMPRODUCT(--ISNUMBER(SEARCH(EmptyKW,$K90)))&gt;0,LOWER(TRIM($F90))="empty"))</f>
        <v>0</v>
      </c>
      <c r="R90" s="34" t="b">
        <f aca="false">IF($B90="","",OR(ISNUMBER(SEARCH("repair",$G90)),ISNUMBER(SEARCH("not working",$G90))))</f>
        <v>0</v>
      </c>
      <c r="S90" s="32" t="n">
        <f aca="false">IF(AND($B90&lt;&gt;"",$M90=TRUE(),$L90=FALSE(),$Q90=FALSE()),COUNTIFS($M$3:$M90,TRUE(),$L$3:$L90,FALSE(),$Q$3:$Q90,FALSE()),"")</f>
        <v>15</v>
      </c>
      <c r="T90" s="32" t="str">
        <f aca="false">IF($B90="","",IF($Q90=TRUE(),"U1",IF($L90=TRUE(),"S1",IF($M90=TRUE(),"D"&amp;MIN(4,INT(($S90-1)/DisplayCapacity)+1),IF($N90=TRUE(),"K1",IF($O90=TRUE(),"P1",IF($P90=TRUE(),"U1",IF($R90=TRUE(),"U1","W"))))))))</f>
        <v>D3</v>
      </c>
      <c r="U90" s="32" t="str">
        <f aca="false">IF($T90="","",$T90&amp;"-"&amp;COUNTIF($T$3:T90,$T90))</f>
        <v>D3-1</v>
      </c>
      <c r="V90" s="32" t="str">
        <f aca="false">IF($B90="","",_xlfn.TEXTJOIN(" | ",TRUE(),IF($Q90=TRUE(),"Empty box - no physical device, verify status",""),IF(AND($P90=TRUE(),$L90=FALSE(),$M90=FALSE(),$N90=FALSE(),$O90=FALSE(),$Q90=FALSE()),"Speaker fault only - needs manual box assignment",""),IF(AND($R90=TRUE(),$L90=FALSE(),$M90=FALSE(),$N90=FALSE(),$O90=FALSE(),$P90=FALSE(),$Q90=FALSE()),"No fault detail given - needs technician inspection",""),IF(AND(COUNTIF($F$3:$F$252,$F90)&gt;1,LOWER(TRIM($F90))&lt;&gt;"empty"),"Duplicate Serial No - verify device identity",""),IF((--$L90+--$M90+--$N90+--$O90+--$P90)&gt;1,"Multiple fault types detected - review full details before repair","")))</f>
        <v/>
      </c>
      <c r="W90" s="32" t="n">
        <v>0</v>
      </c>
      <c r="X90" s="32"/>
    </row>
    <row r="91" customFormat="false" ht="34.5" hidden="false" customHeight="true" outlineLevel="0" collapsed="false">
      <c r="A91" s="26" t="n">
        <v>89</v>
      </c>
      <c r="B91" s="30" t="n">
        <v>46244.640280463</v>
      </c>
      <c r="C91" s="26" t="s">
        <v>90</v>
      </c>
      <c r="D91" s="26" t="str">
        <f aca="false">IF($B91="","",IFERROR(VLOOKUP(TRIM($C91),ModelMap,2,FALSE()),TRIM($C91)))</f>
        <v>X628</v>
      </c>
      <c r="E91" s="26" t="s">
        <v>333</v>
      </c>
      <c r="F91" s="26" t="s">
        <v>334</v>
      </c>
      <c r="G91" s="26" t="s">
        <v>150</v>
      </c>
      <c r="H91" s="26" t="s">
        <v>156</v>
      </c>
      <c r="I91" s="35" t="s">
        <v>335</v>
      </c>
      <c r="J91" s="26" t="s">
        <v>133</v>
      </c>
      <c r="K91" s="35" t="str">
        <f aca="false">IF($B91="","",LOWER(TRIM($G91)&amp;" | "&amp;TRIM($H91)&amp;" | "&amp;TRIM($I91)))</f>
        <v>working, have to repair | no sensor and also have power issue some time device is off automatically | 
</v>
      </c>
      <c r="L91" s="31" t="b">
        <f aca="false">IF($B91="","",SUMPRODUCT(--ISNUMBER(SEARCH(SensorKW,$K91)))&gt;0)</f>
        <v>1</v>
      </c>
      <c r="M91" s="31" t="b">
        <f aca="false">IF($B91="","",SUMPRODUCT(--ISNUMBER(SEARCH(DisplayKW,$K91)))&gt;0)</f>
        <v>0</v>
      </c>
      <c r="N91" s="31" t="b">
        <f aca="false">IF($B91="","",SUMPRODUCT(--ISNUMBER(SEARCH(KeypadKW,$K91)))&gt;0)</f>
        <v>0</v>
      </c>
      <c r="O91" s="31" t="b">
        <f aca="false">IF($B91="","",SUMPRODUCT(--ISNUMBER(SEARCH(PowerKW,$K91)))&gt;0)</f>
        <v>1</v>
      </c>
      <c r="P91" s="31" t="b">
        <f aca="false">IF($B91="","",SUMPRODUCT(--ISNUMBER(SEARCH(SpeakerKW,$K91)))&gt;0)</f>
        <v>0</v>
      </c>
      <c r="Q91" s="31" t="b">
        <f aca="false">IF($B91="","",OR(SUMPRODUCT(--ISNUMBER(SEARCH(EmptyKW,$K91)))&gt;0,LOWER(TRIM($F91))="empty"))</f>
        <v>0</v>
      </c>
      <c r="R91" s="31" t="b">
        <f aca="false">IF($B91="","",OR(ISNUMBER(SEARCH("repair",$G91)),ISNUMBER(SEARCH("not working",$G91))))</f>
        <v>1</v>
      </c>
      <c r="S91" s="26" t="str">
        <f aca="false">IF(AND($B91&lt;&gt;"",$M91=TRUE(),$L91=FALSE(),$Q91=FALSE()),COUNTIFS($M$3:$M91,TRUE(),$L$3:$L91,FALSE(),$Q$3:$Q91,FALSE()),"")</f>
        <v/>
      </c>
      <c r="T91" s="26" t="str">
        <f aca="false">IF($B91="","",IF($Q91=TRUE(),"U1",IF($L91=TRUE(),"S1",IF($M91=TRUE(),"D"&amp;MIN(4,INT(($S91-1)/DisplayCapacity)+1),IF($N91=TRUE(),"K1",IF($O91=TRUE(),"P1",IF($P91=TRUE(),"U1",IF($R91=TRUE(),"U1","W"))))))))</f>
        <v>S1</v>
      </c>
      <c r="U91" s="26" t="str">
        <f aca="false">IF($T91="","",$T91&amp;"-"&amp;COUNTIF($T$3:T91,$T91))</f>
        <v>S1-18</v>
      </c>
      <c r="V91" s="26" t="str">
        <f aca="false">IF($B91="","",_xlfn.TEXTJOIN(" | ",TRUE(),IF($Q91=TRUE(),"Empty box - no physical device, verify status",""),IF(AND($P91=TRUE(),$L91=FALSE(),$M91=FALSE(),$N91=FALSE(),$O91=FALSE(),$Q91=FALSE()),"Speaker fault only - needs manual box assignment",""),IF(AND($R91=TRUE(),$L91=FALSE(),$M91=FALSE(),$N91=FALSE(),$O91=FALSE(),$P91=FALSE(),$Q91=FALSE()),"No fault detail given - needs technician inspection",""),IF(AND(COUNTIF($F$3:$F$252,$F91)&gt;1,LOWER(TRIM($F91))&lt;&gt;"empty"),"Duplicate Serial No - verify device identity",""),IF((--$L91+--$M91+--$N91+--$O91+--$P91)&gt;1,"Multiple fault types detected - review full details before repair","")))</f>
        <v>Multiple fault types detected - review full details before repair</v>
      </c>
      <c r="W91" s="26" t="n">
        <v>0</v>
      </c>
      <c r="X91" s="26"/>
    </row>
    <row r="92" customFormat="false" ht="15" hidden="false" customHeight="true" outlineLevel="0" collapsed="false">
      <c r="A92" s="32" t="n">
        <v>90</v>
      </c>
      <c r="B92" s="33" t="n">
        <v>46244.6475212732</v>
      </c>
      <c r="C92" s="32" t="s">
        <v>90</v>
      </c>
      <c r="D92" s="32" t="str">
        <f aca="false">IF($B92="","",IFERROR(VLOOKUP(TRIM($C92),ModelMap,2,FALSE()),TRIM($C92)))</f>
        <v>X628</v>
      </c>
      <c r="E92" s="32" t="s">
        <v>336</v>
      </c>
      <c r="F92" s="32" t="s">
        <v>337</v>
      </c>
      <c r="G92" s="32" t="s">
        <v>132</v>
      </c>
      <c r="H92" s="32"/>
      <c r="I92" s="32" t="s">
        <v>164</v>
      </c>
      <c r="J92" s="32" t="s">
        <v>129</v>
      </c>
      <c r="K92" s="32" t="str">
        <f aca="false">IF($B92="","",LOWER(TRIM($G92)&amp;" | "&amp;TRIM($H92)&amp;" | "&amp;TRIM($I92)))</f>
        <v>working |  | display is not clear</v>
      </c>
      <c r="L92" s="34" t="b">
        <f aca="false">IF($B92="","",SUMPRODUCT(--ISNUMBER(SEARCH(SensorKW,$K92)))&gt;0)</f>
        <v>0</v>
      </c>
      <c r="M92" s="34" t="b">
        <f aca="false">IF($B92="","",SUMPRODUCT(--ISNUMBER(SEARCH(DisplayKW,$K92)))&gt;0)</f>
        <v>1</v>
      </c>
      <c r="N92" s="34" t="b">
        <f aca="false">IF($B92="","",SUMPRODUCT(--ISNUMBER(SEARCH(KeypadKW,$K92)))&gt;0)</f>
        <v>0</v>
      </c>
      <c r="O92" s="34" t="b">
        <f aca="false">IF($B92="","",SUMPRODUCT(--ISNUMBER(SEARCH(PowerKW,$K92)))&gt;0)</f>
        <v>0</v>
      </c>
      <c r="P92" s="34" t="b">
        <f aca="false">IF($B92="","",SUMPRODUCT(--ISNUMBER(SEARCH(SpeakerKW,$K92)))&gt;0)</f>
        <v>0</v>
      </c>
      <c r="Q92" s="34" t="b">
        <f aca="false">IF($B92="","",OR(SUMPRODUCT(--ISNUMBER(SEARCH(EmptyKW,$K92)))&gt;0,LOWER(TRIM($F92))="empty"))</f>
        <v>0</v>
      </c>
      <c r="R92" s="34" t="b">
        <f aca="false">IF($B92="","",OR(ISNUMBER(SEARCH("repair",$G92)),ISNUMBER(SEARCH("not working",$G92))))</f>
        <v>0</v>
      </c>
      <c r="S92" s="32" t="n">
        <f aca="false">IF(AND($B92&lt;&gt;"",$M92=TRUE(),$L92=FALSE(),$Q92=FALSE()),COUNTIFS($M$3:$M92,TRUE(),$L$3:$L92,FALSE(),$Q$3:$Q92,FALSE()),"")</f>
        <v>16</v>
      </c>
      <c r="T92" s="32" t="str">
        <f aca="false">IF($B92="","",IF($Q92=TRUE(),"U1",IF($L92=TRUE(),"S1",IF($M92=TRUE(),"D"&amp;MIN(4,INT(($S92-1)/DisplayCapacity)+1),IF($N92=TRUE(),"K1",IF($O92=TRUE(),"P1",IF($P92=TRUE(),"U1",IF($R92=TRUE(),"U1","W"))))))))</f>
        <v>D3</v>
      </c>
      <c r="U92" s="32" t="str">
        <f aca="false">IF($T92="","",$T92&amp;"-"&amp;COUNTIF($T$3:T92,$T92))</f>
        <v>D3-2</v>
      </c>
      <c r="V92" s="32" t="str">
        <f aca="false">IF($B92="","",_xlfn.TEXTJOIN(" | ",TRUE(),IF($Q92=TRUE(),"Empty box - no physical device, verify status",""),IF(AND($P92=TRUE(),$L92=FALSE(),$M92=FALSE(),$N92=FALSE(),$O92=FALSE(),$Q92=FALSE()),"Speaker fault only - needs manual box assignment",""),IF(AND($R92=TRUE(),$L92=FALSE(),$M92=FALSE(),$N92=FALSE(),$O92=FALSE(),$P92=FALSE(),$Q92=FALSE()),"No fault detail given - needs technician inspection",""),IF(AND(COUNTIF($F$3:$F$252,$F92)&gt;1,LOWER(TRIM($F92))&lt;&gt;"empty"),"Duplicate Serial No - verify device identity",""),IF((--$L92+--$M92+--$N92+--$O92+--$P92)&gt;1,"Multiple fault types detected - review full details before repair","")))</f>
        <v/>
      </c>
      <c r="W92" s="32" t="n">
        <v>0</v>
      </c>
      <c r="X92" s="32"/>
    </row>
    <row r="93" customFormat="false" ht="15" hidden="false" customHeight="true" outlineLevel="0" collapsed="false">
      <c r="A93" s="26" t="n">
        <v>91</v>
      </c>
      <c r="B93" s="30" t="n">
        <v>46244.6527987153</v>
      </c>
      <c r="C93" s="26" t="s">
        <v>90</v>
      </c>
      <c r="D93" s="26" t="str">
        <f aca="false">IF($B93="","",IFERROR(VLOOKUP(TRIM($C93),ModelMap,2,FALSE()),TRIM($C93)))</f>
        <v>X628</v>
      </c>
      <c r="E93" s="26" t="s">
        <v>338</v>
      </c>
      <c r="F93" s="26" t="s">
        <v>84</v>
      </c>
      <c r="G93" s="26" t="s">
        <v>132</v>
      </c>
      <c r="H93" s="26" t="s">
        <v>339</v>
      </c>
      <c r="I93" s="26" t="s">
        <v>340</v>
      </c>
      <c r="J93" s="26" t="s">
        <v>133</v>
      </c>
      <c r="K93" s="26" t="str">
        <f aca="false">IF($B93="","",LOWER(TRIM($G93)&amp;" | "&amp;TRIM($H93)&amp;" | "&amp;TRIM($I93)))</f>
        <v>working | emty box | it was taken to piliyandala for a temporary installation.</v>
      </c>
      <c r="L93" s="31" t="b">
        <f aca="false">IF($B93="","",SUMPRODUCT(--ISNUMBER(SEARCH(SensorKW,$K93)))&gt;0)</f>
        <v>0</v>
      </c>
      <c r="M93" s="31" t="b">
        <f aca="false">IF($B93="","",SUMPRODUCT(--ISNUMBER(SEARCH(DisplayKW,$K93)))&gt;0)</f>
        <v>0</v>
      </c>
      <c r="N93" s="31" t="b">
        <f aca="false">IF($B93="","",SUMPRODUCT(--ISNUMBER(SEARCH(KeypadKW,$K93)))&gt;0)</f>
        <v>0</v>
      </c>
      <c r="O93" s="31" t="b">
        <f aca="false">IF($B93="","",SUMPRODUCT(--ISNUMBER(SEARCH(PowerKW,$K93)))&gt;0)</f>
        <v>0</v>
      </c>
      <c r="P93" s="31" t="b">
        <f aca="false">IF($B93="","",SUMPRODUCT(--ISNUMBER(SEARCH(SpeakerKW,$K93)))&gt;0)</f>
        <v>0</v>
      </c>
      <c r="Q93" s="31" t="b">
        <f aca="false">IF($B93="","",OR(SUMPRODUCT(--ISNUMBER(SEARCH(EmptyKW,$K93)))&gt;0,LOWER(TRIM($F93))="empty"))</f>
        <v>1</v>
      </c>
      <c r="R93" s="31" t="b">
        <f aca="false">IF($B93="","",OR(ISNUMBER(SEARCH("repair",$G93)),ISNUMBER(SEARCH("not working",$G93))))</f>
        <v>0</v>
      </c>
      <c r="S93" s="26" t="str">
        <f aca="false">IF(AND($B93&lt;&gt;"",$M93=TRUE(),$L93=FALSE(),$Q93=FALSE()),COUNTIFS($M$3:$M93,TRUE(),$L$3:$L93,FALSE(),$Q$3:$Q93,FALSE()),"")</f>
        <v/>
      </c>
      <c r="T93" s="26" t="str">
        <f aca="false">IF($B93="","",IF($Q93=TRUE(),"U1",IF($L93=TRUE(),"S1",IF($M93=TRUE(),"D"&amp;MIN(4,INT(($S93-1)/DisplayCapacity)+1),IF($N93=TRUE(),"K1",IF($O93=TRUE(),"P1",IF($P93=TRUE(),"U1",IF($R93=TRUE(),"U1","W"))))))))</f>
        <v>U1</v>
      </c>
      <c r="U93" s="26" t="str">
        <f aca="false">IF($T93="","",$T93&amp;"-"&amp;COUNTIF($T$3:T93,$T93))</f>
        <v>U1-3</v>
      </c>
      <c r="V93" s="26" t="str">
        <f aca="false">IF($B93="","",_xlfn.TEXTJOIN(" | ",TRUE(),IF($Q93=TRUE(),"Empty box - no physical device, verify status",""),IF(AND($P93=TRUE(),$L93=FALSE(),$M93=FALSE(),$N93=FALSE(),$O93=FALSE(),$Q93=FALSE()),"Speaker fault only - needs manual box assignment",""),IF(AND($R93=TRUE(),$L93=FALSE(),$M93=FALSE(),$N93=FALSE(),$O93=FALSE(),$P93=FALSE(),$Q93=FALSE()),"No fault detail given - needs technician inspection",""),IF(AND(COUNTIF($F$3:$F$252,$F93)&gt;1,LOWER(TRIM($F93))&lt;&gt;"empty"),"Duplicate Serial No - verify device identity",""),IF((--$L93+--$M93+--$N93+--$O93+--$P93)&gt;1,"Multiple fault types detected - review full details before repair","")))</f>
        <v>Empty box - no physical device, verify status</v>
      </c>
      <c r="W93" s="26" t="n">
        <v>0</v>
      </c>
      <c r="X93" s="26"/>
    </row>
    <row r="94" customFormat="false" ht="15" hidden="false" customHeight="true" outlineLevel="0" collapsed="false">
      <c r="A94" s="32" t="n">
        <v>92</v>
      </c>
      <c r="B94" s="33" t="n">
        <v>46244.653834838</v>
      </c>
      <c r="C94" s="32" t="s">
        <v>90</v>
      </c>
      <c r="D94" s="32" t="str">
        <f aca="false">IF($B94="","",IFERROR(VLOOKUP(TRIM($C94),ModelMap,2,FALSE()),TRIM($C94)))</f>
        <v>X628</v>
      </c>
      <c r="E94" s="32" t="s">
        <v>341</v>
      </c>
      <c r="F94" s="32" t="s">
        <v>342</v>
      </c>
      <c r="G94" s="32" t="s">
        <v>132</v>
      </c>
      <c r="H94" s="32"/>
      <c r="I94" s="32"/>
      <c r="J94" s="32" t="s">
        <v>129</v>
      </c>
      <c r="K94" s="32" t="str">
        <f aca="false">IF($B94="","",LOWER(TRIM($G94)&amp;" | "&amp;TRIM($H94)&amp;" | "&amp;TRIM($I94)))</f>
        <v>working |  | </v>
      </c>
      <c r="L94" s="34" t="b">
        <f aca="false">IF($B94="","",SUMPRODUCT(--ISNUMBER(SEARCH(SensorKW,$K94)))&gt;0)</f>
        <v>0</v>
      </c>
      <c r="M94" s="34" t="b">
        <f aca="false">IF($B94="","",SUMPRODUCT(--ISNUMBER(SEARCH(DisplayKW,$K94)))&gt;0)</f>
        <v>0</v>
      </c>
      <c r="N94" s="34" t="b">
        <f aca="false">IF($B94="","",SUMPRODUCT(--ISNUMBER(SEARCH(KeypadKW,$K94)))&gt;0)</f>
        <v>0</v>
      </c>
      <c r="O94" s="34" t="b">
        <f aca="false">IF($B94="","",SUMPRODUCT(--ISNUMBER(SEARCH(PowerKW,$K94)))&gt;0)</f>
        <v>0</v>
      </c>
      <c r="P94" s="34" t="b">
        <f aca="false">IF($B94="","",SUMPRODUCT(--ISNUMBER(SEARCH(SpeakerKW,$K94)))&gt;0)</f>
        <v>0</v>
      </c>
      <c r="Q94" s="34" t="b">
        <f aca="false">IF($B94="","",OR(SUMPRODUCT(--ISNUMBER(SEARCH(EmptyKW,$K94)))&gt;0,LOWER(TRIM($F94))="empty"))</f>
        <v>0</v>
      </c>
      <c r="R94" s="34" t="b">
        <f aca="false">IF($B94="","",OR(ISNUMBER(SEARCH("repair",$G94)),ISNUMBER(SEARCH("not working",$G94))))</f>
        <v>0</v>
      </c>
      <c r="S94" s="32" t="str">
        <f aca="false">IF(AND($B94&lt;&gt;"",$M94=TRUE(),$L94=FALSE(),$Q94=FALSE()),COUNTIFS($M$3:$M94,TRUE(),$L$3:$L94,FALSE(),$Q$3:$Q94,FALSE()),"")</f>
        <v/>
      </c>
      <c r="T94" s="32" t="str">
        <f aca="false">IF($B94="","",IF($Q94=TRUE(),"U1",IF($L94=TRUE(),"S1",IF($M94=TRUE(),"D"&amp;MIN(4,INT(($S94-1)/DisplayCapacity)+1),IF($N94=TRUE(),"K1",IF($O94=TRUE(),"P1",IF($P94=TRUE(),"U1",IF($R94=TRUE(),"U1","W"))))))))</f>
        <v>W</v>
      </c>
      <c r="U94" s="32" t="str">
        <f aca="false">IF($T94="","",$T94&amp;"-"&amp;COUNTIF($T$3:T94,$T94))</f>
        <v>W-50</v>
      </c>
      <c r="V94" s="32" t="str">
        <f aca="false">IF($B94="","",_xlfn.TEXTJOIN(" | ",TRUE(),IF($Q94=TRUE(),"Empty box - no physical device, verify status",""),IF(AND($P94=TRUE(),$L94=FALSE(),$M94=FALSE(),$N94=FALSE(),$O94=FALSE(),$Q94=FALSE()),"Speaker fault only - needs manual box assignment",""),IF(AND($R94=TRUE(),$L94=FALSE(),$M94=FALSE(),$N94=FALSE(),$O94=FALSE(),$P94=FALSE(),$Q94=FALSE()),"No fault detail given - needs technician inspection",""),IF(AND(COUNTIF($F$3:$F$252,$F94)&gt;1,LOWER(TRIM($F94))&lt;&gt;"empty"),"Duplicate Serial No - verify device identity",""),IF((--$L94+--$M94+--$N94+--$O94+--$P94)&gt;1,"Multiple fault types detected - review full details before repair","")))</f>
        <v/>
      </c>
      <c r="W94" s="32" t="n">
        <v>0</v>
      </c>
      <c r="X94" s="32"/>
    </row>
    <row r="95" customFormat="false" ht="15" hidden="false" customHeight="true" outlineLevel="0" collapsed="false">
      <c r="A95" s="26" t="n">
        <v>93</v>
      </c>
      <c r="B95" s="30" t="n">
        <v>46244.6558469676</v>
      </c>
      <c r="C95" s="26" t="s">
        <v>92</v>
      </c>
      <c r="D95" s="26" t="str">
        <f aca="false">IF($B95="","",IFERROR(VLOOKUP(TRIM($C95),ModelMap,2,FALSE()),TRIM($C95)))</f>
        <v>TX628</v>
      </c>
      <c r="E95" s="26" t="s">
        <v>343</v>
      </c>
      <c r="F95" s="26" t="s">
        <v>344</v>
      </c>
      <c r="G95" s="26" t="s">
        <v>132</v>
      </c>
      <c r="H95" s="26"/>
      <c r="I95" s="26"/>
      <c r="J95" s="26" t="s">
        <v>133</v>
      </c>
      <c r="K95" s="26" t="str">
        <f aca="false">IF($B95="","",LOWER(TRIM($G95)&amp;" | "&amp;TRIM($H95)&amp;" | "&amp;TRIM($I95)))</f>
        <v>working |  | </v>
      </c>
      <c r="L95" s="31" t="b">
        <f aca="false">IF($B95="","",SUMPRODUCT(--ISNUMBER(SEARCH(SensorKW,$K95)))&gt;0)</f>
        <v>0</v>
      </c>
      <c r="M95" s="31" t="b">
        <f aca="false">IF($B95="","",SUMPRODUCT(--ISNUMBER(SEARCH(DisplayKW,$K95)))&gt;0)</f>
        <v>0</v>
      </c>
      <c r="N95" s="31" t="b">
        <f aca="false">IF($B95="","",SUMPRODUCT(--ISNUMBER(SEARCH(KeypadKW,$K95)))&gt;0)</f>
        <v>0</v>
      </c>
      <c r="O95" s="31" t="b">
        <f aca="false">IF($B95="","",SUMPRODUCT(--ISNUMBER(SEARCH(PowerKW,$K95)))&gt;0)</f>
        <v>0</v>
      </c>
      <c r="P95" s="31" t="b">
        <f aca="false">IF($B95="","",SUMPRODUCT(--ISNUMBER(SEARCH(SpeakerKW,$K95)))&gt;0)</f>
        <v>0</v>
      </c>
      <c r="Q95" s="31" t="b">
        <f aca="false">IF($B95="","",OR(SUMPRODUCT(--ISNUMBER(SEARCH(EmptyKW,$K95)))&gt;0,LOWER(TRIM($F95))="empty"))</f>
        <v>0</v>
      </c>
      <c r="R95" s="31" t="b">
        <f aca="false">IF($B95="","",OR(ISNUMBER(SEARCH("repair",$G95)),ISNUMBER(SEARCH("not working",$G95))))</f>
        <v>0</v>
      </c>
      <c r="S95" s="26" t="str">
        <f aca="false">IF(AND($B95&lt;&gt;"",$M95=TRUE(),$L95=FALSE(),$Q95=FALSE()),COUNTIFS($M$3:$M95,TRUE(),$L$3:$L95,FALSE(),$Q$3:$Q95,FALSE()),"")</f>
        <v/>
      </c>
      <c r="T95" s="26" t="str">
        <f aca="false">IF($B95="","",IF($Q95=TRUE(),"U1",IF($L95=TRUE(),"S1",IF($M95=TRUE(),"D"&amp;MIN(4,INT(($S95-1)/DisplayCapacity)+1),IF($N95=TRUE(),"K1",IF($O95=TRUE(),"P1",IF($P95=TRUE(),"U1",IF($R95=TRUE(),"U1","W"))))))))</f>
        <v>W</v>
      </c>
      <c r="U95" s="26" t="str">
        <f aca="false">IF($T95="","",$T95&amp;"-"&amp;COUNTIF($T$3:T95,$T95))</f>
        <v>W-51</v>
      </c>
      <c r="V95" s="26" t="str">
        <f aca="false">IF($B95="","",_xlfn.TEXTJOIN(" | ",TRUE(),IF($Q95=TRUE(),"Empty box - no physical device, verify status",""),IF(AND($P95=TRUE(),$L95=FALSE(),$M95=FALSE(),$N95=FALSE(),$O95=FALSE(),$Q95=FALSE()),"Speaker fault only - needs manual box assignment",""),IF(AND($R95=TRUE(),$L95=FALSE(),$M95=FALSE(),$N95=FALSE(),$O95=FALSE(),$P95=FALSE(),$Q95=FALSE()),"No fault detail given - needs technician inspection",""),IF(AND(COUNTIF($F$3:$F$252,$F95)&gt;1,LOWER(TRIM($F95))&lt;&gt;"empty"),"Duplicate Serial No - verify device identity",""),IF((--$L95+--$M95+--$N95+--$O95+--$P95)&gt;1,"Multiple fault types detected - review full details before repair","")))</f>
        <v/>
      </c>
      <c r="W95" s="26" t="n">
        <v>0</v>
      </c>
      <c r="X95" s="26"/>
    </row>
    <row r="96" customFormat="false" ht="15" hidden="false" customHeight="true" outlineLevel="0" collapsed="false">
      <c r="A96" s="32" t="n">
        <v>94</v>
      </c>
      <c r="B96" s="33" t="n">
        <v>46244.6590454398</v>
      </c>
      <c r="C96" s="32" t="s">
        <v>90</v>
      </c>
      <c r="D96" s="32" t="str">
        <f aca="false">IF($B96="","",IFERROR(VLOOKUP(TRIM($C96),ModelMap,2,FALSE()),TRIM($C96)))</f>
        <v>X628</v>
      </c>
      <c r="E96" s="32" t="s">
        <v>345</v>
      </c>
      <c r="F96" s="32" t="s">
        <v>324</v>
      </c>
      <c r="G96" s="32" t="s">
        <v>132</v>
      </c>
      <c r="H96" s="32"/>
      <c r="I96" s="32"/>
      <c r="J96" s="32" t="s">
        <v>129</v>
      </c>
      <c r="K96" s="32" t="str">
        <f aca="false">IF($B96="","",LOWER(TRIM($G96)&amp;" | "&amp;TRIM($H96)&amp;" | "&amp;TRIM($I96)))</f>
        <v>working |  | </v>
      </c>
      <c r="L96" s="34" t="b">
        <f aca="false">IF($B96="","",SUMPRODUCT(--ISNUMBER(SEARCH(SensorKW,$K96)))&gt;0)</f>
        <v>0</v>
      </c>
      <c r="M96" s="34" t="b">
        <f aca="false">IF($B96="","",SUMPRODUCT(--ISNUMBER(SEARCH(DisplayKW,$K96)))&gt;0)</f>
        <v>0</v>
      </c>
      <c r="N96" s="34" t="b">
        <f aca="false">IF($B96="","",SUMPRODUCT(--ISNUMBER(SEARCH(KeypadKW,$K96)))&gt;0)</f>
        <v>0</v>
      </c>
      <c r="O96" s="34" t="b">
        <f aca="false">IF($B96="","",SUMPRODUCT(--ISNUMBER(SEARCH(PowerKW,$K96)))&gt;0)</f>
        <v>0</v>
      </c>
      <c r="P96" s="34" t="b">
        <f aca="false">IF($B96="","",SUMPRODUCT(--ISNUMBER(SEARCH(SpeakerKW,$K96)))&gt;0)</f>
        <v>0</v>
      </c>
      <c r="Q96" s="34" t="b">
        <f aca="false">IF($B96="","",OR(SUMPRODUCT(--ISNUMBER(SEARCH(EmptyKW,$K96)))&gt;0,LOWER(TRIM($F96))="empty"))</f>
        <v>0</v>
      </c>
      <c r="R96" s="34" t="b">
        <f aca="false">IF($B96="","",OR(ISNUMBER(SEARCH("repair",$G96)),ISNUMBER(SEARCH("not working",$G96))))</f>
        <v>0</v>
      </c>
      <c r="S96" s="32" t="str">
        <f aca="false">IF(AND($B96&lt;&gt;"",$M96=TRUE(),$L96=FALSE(),$Q96=FALSE()),COUNTIFS($M$3:$M96,TRUE(),$L$3:$L96,FALSE(),$Q$3:$Q96,FALSE()),"")</f>
        <v/>
      </c>
      <c r="T96" s="32" t="str">
        <f aca="false">IF($B96="","",IF($Q96=TRUE(),"U1",IF($L96=TRUE(),"S1",IF($M96=TRUE(),"D"&amp;MIN(4,INT(($S96-1)/DisplayCapacity)+1),IF($N96=TRUE(),"K1",IF($O96=TRUE(),"P1",IF($P96=TRUE(),"U1",IF($R96=TRUE(),"U1","W"))))))))</f>
        <v>W</v>
      </c>
      <c r="U96" s="32" t="str">
        <f aca="false">IF($T96="","",$T96&amp;"-"&amp;COUNTIF($T$3:T96,$T96))</f>
        <v>W-52</v>
      </c>
      <c r="V96" s="32" t="str">
        <f aca="false">IF($B96="","",_xlfn.TEXTJOIN(" | ",TRUE(),IF($Q96=TRUE(),"Empty box - no physical device, verify status",""),IF(AND($P96=TRUE(),$L96=FALSE(),$M96=FALSE(),$N96=FALSE(),$O96=FALSE(),$Q96=FALSE()),"Speaker fault only - needs manual box assignment",""),IF(AND($R96=TRUE(),$L96=FALSE(),$M96=FALSE(),$N96=FALSE(),$O96=FALSE(),$P96=FALSE(),$Q96=FALSE()),"No fault detail given - needs technician inspection",""),IF(AND(COUNTIF($F$3:$F$252,$F96)&gt;1,LOWER(TRIM($F96))&lt;&gt;"empty"),"Duplicate Serial No - verify device identity",""),IF((--$L96+--$M96+--$N96+--$O96+--$P96)&gt;1,"Multiple fault types detected - review full details before repair","")))</f>
        <v>Duplicate Serial No - verify device identity</v>
      </c>
      <c r="W96" s="32" t="n">
        <v>0</v>
      </c>
      <c r="X96" s="32"/>
    </row>
    <row r="97" customFormat="false" ht="15" hidden="false" customHeight="true" outlineLevel="0" collapsed="false">
      <c r="A97" s="26" t="n">
        <v>95</v>
      </c>
      <c r="B97" s="30" t="n">
        <v>46244.6606736111</v>
      </c>
      <c r="C97" s="26" t="s">
        <v>92</v>
      </c>
      <c r="D97" s="26" t="str">
        <f aca="false">IF($B97="","",IFERROR(VLOOKUP(TRIM($C97),ModelMap,2,FALSE()),TRIM($C97)))</f>
        <v>TX628</v>
      </c>
      <c r="E97" s="26" t="s">
        <v>346</v>
      </c>
      <c r="F97" s="26" t="s">
        <v>347</v>
      </c>
      <c r="G97" s="26" t="s">
        <v>132</v>
      </c>
      <c r="H97" s="26"/>
      <c r="I97" s="26"/>
      <c r="J97" s="26" t="s">
        <v>133</v>
      </c>
      <c r="K97" s="26" t="str">
        <f aca="false">IF($B97="","",LOWER(TRIM($G97)&amp;" | "&amp;TRIM($H97)&amp;" | "&amp;TRIM($I97)))</f>
        <v>working |  | </v>
      </c>
      <c r="L97" s="31" t="b">
        <f aca="false">IF($B97="","",SUMPRODUCT(--ISNUMBER(SEARCH(SensorKW,$K97)))&gt;0)</f>
        <v>0</v>
      </c>
      <c r="M97" s="31" t="b">
        <f aca="false">IF($B97="","",SUMPRODUCT(--ISNUMBER(SEARCH(DisplayKW,$K97)))&gt;0)</f>
        <v>0</v>
      </c>
      <c r="N97" s="31" t="b">
        <f aca="false">IF($B97="","",SUMPRODUCT(--ISNUMBER(SEARCH(KeypadKW,$K97)))&gt;0)</f>
        <v>0</v>
      </c>
      <c r="O97" s="31" t="b">
        <f aca="false">IF($B97="","",SUMPRODUCT(--ISNUMBER(SEARCH(PowerKW,$K97)))&gt;0)</f>
        <v>0</v>
      </c>
      <c r="P97" s="31" t="b">
        <f aca="false">IF($B97="","",SUMPRODUCT(--ISNUMBER(SEARCH(SpeakerKW,$K97)))&gt;0)</f>
        <v>0</v>
      </c>
      <c r="Q97" s="31" t="b">
        <f aca="false">IF($B97="","",OR(SUMPRODUCT(--ISNUMBER(SEARCH(EmptyKW,$K97)))&gt;0,LOWER(TRIM($F97))="empty"))</f>
        <v>0</v>
      </c>
      <c r="R97" s="31" t="b">
        <f aca="false">IF($B97="","",OR(ISNUMBER(SEARCH("repair",$G97)),ISNUMBER(SEARCH("not working",$G97))))</f>
        <v>0</v>
      </c>
      <c r="S97" s="26" t="str">
        <f aca="false">IF(AND($B97&lt;&gt;"",$M97=TRUE(),$L97=FALSE(),$Q97=FALSE()),COUNTIFS($M$3:$M97,TRUE(),$L$3:$L97,FALSE(),$Q$3:$Q97,FALSE()),"")</f>
        <v/>
      </c>
      <c r="T97" s="26" t="str">
        <f aca="false">IF($B97="","",IF($Q97=TRUE(),"U1",IF($L97=TRUE(),"S1",IF($M97=TRUE(),"D"&amp;MIN(4,INT(($S97-1)/DisplayCapacity)+1),IF($N97=TRUE(),"K1",IF($O97=TRUE(),"P1",IF($P97=TRUE(),"U1",IF($R97=TRUE(),"U1","W"))))))))</f>
        <v>W</v>
      </c>
      <c r="U97" s="26" t="str">
        <f aca="false">IF($T97="","",$T97&amp;"-"&amp;COUNTIF($T$3:T97,$T97))</f>
        <v>W-53</v>
      </c>
      <c r="V97" s="26" t="str">
        <f aca="false">IF($B97="","",_xlfn.TEXTJOIN(" | ",TRUE(),IF($Q97=TRUE(),"Empty box - no physical device, verify status",""),IF(AND($P97=TRUE(),$L97=FALSE(),$M97=FALSE(),$N97=FALSE(),$O97=FALSE(),$Q97=FALSE()),"Speaker fault only - needs manual box assignment",""),IF(AND($R97=TRUE(),$L97=FALSE(),$M97=FALSE(),$N97=FALSE(),$O97=FALSE(),$P97=FALSE(),$Q97=FALSE()),"No fault detail given - needs technician inspection",""),IF(AND(COUNTIF($F$3:$F$252,$F97)&gt;1,LOWER(TRIM($F97))&lt;&gt;"empty"),"Duplicate Serial No - verify device identity",""),IF((--$L97+--$M97+--$N97+--$O97+--$P97)&gt;1,"Multiple fault types detected - review full details before repair","")))</f>
        <v/>
      </c>
      <c r="W97" s="26" t="n">
        <v>0</v>
      </c>
      <c r="X97" s="26"/>
    </row>
    <row r="98" customFormat="false" ht="15" hidden="false" customHeight="true" outlineLevel="0" collapsed="false">
      <c r="A98" s="32" t="n">
        <v>96</v>
      </c>
      <c r="B98" s="33" t="n">
        <v>46244.6623213195</v>
      </c>
      <c r="C98" s="32" t="s">
        <v>91</v>
      </c>
      <c r="D98" s="32" t="str">
        <f aca="false">IF($B98="","",IFERROR(VLOOKUP(TRIM($C98),ModelMap,2,FALSE()),TRIM($C98)))</f>
        <v>X628</v>
      </c>
      <c r="E98" s="32" t="s">
        <v>348</v>
      </c>
      <c r="F98" s="32" t="s">
        <v>349</v>
      </c>
      <c r="G98" s="32" t="s">
        <v>132</v>
      </c>
      <c r="H98" s="32"/>
      <c r="I98" s="32"/>
      <c r="J98" s="32" t="s">
        <v>129</v>
      </c>
      <c r="K98" s="32" t="str">
        <f aca="false">IF($B98="","",LOWER(TRIM($G98)&amp;" | "&amp;TRIM($H98)&amp;" | "&amp;TRIM($I98)))</f>
        <v>working |  | </v>
      </c>
      <c r="L98" s="34" t="b">
        <f aca="false">IF($B98="","",SUMPRODUCT(--ISNUMBER(SEARCH(SensorKW,$K98)))&gt;0)</f>
        <v>0</v>
      </c>
      <c r="M98" s="34" t="b">
        <f aca="false">IF($B98="","",SUMPRODUCT(--ISNUMBER(SEARCH(DisplayKW,$K98)))&gt;0)</f>
        <v>0</v>
      </c>
      <c r="N98" s="34" t="b">
        <f aca="false">IF($B98="","",SUMPRODUCT(--ISNUMBER(SEARCH(KeypadKW,$K98)))&gt;0)</f>
        <v>0</v>
      </c>
      <c r="O98" s="34" t="b">
        <f aca="false">IF($B98="","",SUMPRODUCT(--ISNUMBER(SEARCH(PowerKW,$K98)))&gt;0)</f>
        <v>0</v>
      </c>
      <c r="P98" s="34" t="b">
        <f aca="false">IF($B98="","",SUMPRODUCT(--ISNUMBER(SEARCH(SpeakerKW,$K98)))&gt;0)</f>
        <v>0</v>
      </c>
      <c r="Q98" s="34" t="b">
        <f aca="false">IF($B98="","",OR(SUMPRODUCT(--ISNUMBER(SEARCH(EmptyKW,$K98)))&gt;0,LOWER(TRIM($F98))="empty"))</f>
        <v>0</v>
      </c>
      <c r="R98" s="34" t="b">
        <f aca="false">IF($B98="","",OR(ISNUMBER(SEARCH("repair",$G98)),ISNUMBER(SEARCH("not working",$G98))))</f>
        <v>0</v>
      </c>
      <c r="S98" s="32" t="str">
        <f aca="false">IF(AND($B98&lt;&gt;"",$M98=TRUE(),$L98=FALSE(),$Q98=FALSE()),COUNTIFS($M$3:$M98,TRUE(),$L$3:$L98,FALSE(),$Q$3:$Q98,FALSE()),"")</f>
        <v/>
      </c>
      <c r="T98" s="32" t="str">
        <f aca="false">IF($B98="","",IF($Q98=TRUE(),"U1",IF($L98=TRUE(),"S1",IF($M98=TRUE(),"D"&amp;MIN(4,INT(($S98-1)/DisplayCapacity)+1),IF($N98=TRUE(),"K1",IF($O98=TRUE(),"P1",IF($P98=TRUE(),"U1",IF($R98=TRUE(),"U1","W"))))))))</f>
        <v>W</v>
      </c>
      <c r="U98" s="32" t="str">
        <f aca="false">IF($T98="","",$T98&amp;"-"&amp;COUNTIF($T$3:T98,$T98))</f>
        <v>W-54</v>
      </c>
      <c r="V98" s="32" t="str">
        <f aca="false">IF($B98="","",_xlfn.TEXTJOIN(" | ",TRUE(),IF($Q98=TRUE(),"Empty box - no physical device, verify status",""),IF(AND($P98=TRUE(),$L98=FALSE(),$M98=FALSE(),$N98=FALSE(),$O98=FALSE(),$Q98=FALSE()),"Speaker fault only - needs manual box assignment",""),IF(AND($R98=TRUE(),$L98=FALSE(),$M98=FALSE(),$N98=FALSE(),$O98=FALSE(),$P98=FALSE(),$Q98=FALSE()),"No fault detail given - needs technician inspection",""),IF(AND(COUNTIF($F$3:$F$252,$F98)&gt;1,LOWER(TRIM($F98))&lt;&gt;"empty"),"Duplicate Serial No - verify device identity",""),IF((--$L98+--$M98+--$N98+--$O98+--$P98)&gt;1,"Multiple fault types detected - review full details before repair","")))</f>
        <v/>
      </c>
      <c r="W98" s="32" t="n">
        <v>0</v>
      </c>
      <c r="X98" s="32"/>
    </row>
    <row r="99" customFormat="false" ht="15" hidden="false" customHeight="true" outlineLevel="0" collapsed="false">
      <c r="A99" s="26" t="n">
        <v>97</v>
      </c>
      <c r="B99" s="30" t="n">
        <v>46244.6646886111</v>
      </c>
      <c r="C99" s="26" t="s">
        <v>90</v>
      </c>
      <c r="D99" s="26" t="str">
        <f aca="false">IF($B99="","",IFERROR(VLOOKUP(TRIM($C99),ModelMap,2,FALSE()),TRIM($C99)))</f>
        <v>X628</v>
      </c>
      <c r="E99" s="26" t="s">
        <v>350</v>
      </c>
      <c r="F99" s="26" t="s">
        <v>351</v>
      </c>
      <c r="G99" s="26" t="s">
        <v>150</v>
      </c>
      <c r="H99" s="26" t="s">
        <v>230</v>
      </c>
      <c r="I99" s="26" t="s">
        <v>164</v>
      </c>
      <c r="J99" s="26" t="s">
        <v>129</v>
      </c>
      <c r="K99" s="26" t="str">
        <f aca="false">IF($B99="","",LOWER(TRIM($G99)&amp;" | "&amp;TRIM($H99)&amp;" | "&amp;TRIM($I99)))</f>
        <v>working, have to repair | sensor is not working | display is not clear</v>
      </c>
      <c r="L99" s="31" t="b">
        <f aca="false">IF($B99="","",SUMPRODUCT(--ISNUMBER(SEARCH(SensorKW,$K99)))&gt;0)</f>
        <v>1</v>
      </c>
      <c r="M99" s="31" t="b">
        <f aca="false">IF($B99="","",SUMPRODUCT(--ISNUMBER(SEARCH(DisplayKW,$K99)))&gt;0)</f>
        <v>1</v>
      </c>
      <c r="N99" s="31" t="b">
        <f aca="false">IF($B99="","",SUMPRODUCT(--ISNUMBER(SEARCH(KeypadKW,$K99)))&gt;0)</f>
        <v>0</v>
      </c>
      <c r="O99" s="31" t="b">
        <f aca="false">IF($B99="","",SUMPRODUCT(--ISNUMBER(SEARCH(PowerKW,$K99)))&gt;0)</f>
        <v>0</v>
      </c>
      <c r="P99" s="31" t="b">
        <f aca="false">IF($B99="","",SUMPRODUCT(--ISNUMBER(SEARCH(SpeakerKW,$K99)))&gt;0)</f>
        <v>0</v>
      </c>
      <c r="Q99" s="31" t="b">
        <f aca="false">IF($B99="","",OR(SUMPRODUCT(--ISNUMBER(SEARCH(EmptyKW,$K99)))&gt;0,LOWER(TRIM($F99))="empty"))</f>
        <v>0</v>
      </c>
      <c r="R99" s="31" t="b">
        <f aca="false">IF($B99="","",OR(ISNUMBER(SEARCH("repair",$G99)),ISNUMBER(SEARCH("not working",$G99))))</f>
        <v>1</v>
      </c>
      <c r="S99" s="26" t="str">
        <f aca="false">IF(AND($B99&lt;&gt;"",$M99=TRUE(),$L99=FALSE(),$Q99=FALSE()),COUNTIFS($M$3:$M99,TRUE(),$L$3:$L99,FALSE(),$Q$3:$Q99,FALSE()),"")</f>
        <v/>
      </c>
      <c r="T99" s="26" t="str">
        <f aca="false">IF($B99="","",IF($Q99=TRUE(),"U1",IF($L99=TRUE(),"S1",IF($M99=TRUE(),"D"&amp;MIN(4,INT(($S99-1)/DisplayCapacity)+1),IF($N99=TRUE(),"K1",IF($O99=TRUE(),"P1",IF($P99=TRUE(),"U1",IF($R99=TRUE(),"U1","W"))))))))</f>
        <v>S1</v>
      </c>
      <c r="U99" s="26" t="str">
        <f aca="false">IF($T99="","",$T99&amp;"-"&amp;COUNTIF($T$3:T99,$T99))</f>
        <v>S1-19</v>
      </c>
      <c r="V99" s="26" t="str">
        <f aca="false">IF($B99="","",_xlfn.TEXTJOIN(" | ",TRUE(),IF($Q99=TRUE(),"Empty box - no physical device, verify status",""),IF(AND($P99=TRUE(),$L99=FALSE(),$M99=FALSE(),$N99=FALSE(),$O99=FALSE(),$Q99=FALSE()),"Speaker fault only - needs manual box assignment",""),IF(AND($R99=TRUE(),$L99=FALSE(),$M99=FALSE(),$N99=FALSE(),$O99=FALSE(),$P99=FALSE(),$Q99=FALSE()),"No fault detail given - needs technician inspection",""),IF(AND(COUNTIF($F$3:$F$252,$F99)&gt;1,LOWER(TRIM($F99))&lt;&gt;"empty"),"Duplicate Serial No - verify device identity",""),IF((--$L99+--$M99+--$N99+--$O99+--$P99)&gt;1,"Multiple fault types detected - review full details before repair","")))</f>
        <v>Multiple fault types detected - review full details before repair</v>
      </c>
      <c r="W99" s="26" t="n">
        <v>0</v>
      </c>
      <c r="X99" s="26"/>
    </row>
    <row r="100" customFormat="false" ht="15" hidden="false" customHeight="true" outlineLevel="0" collapsed="false">
      <c r="A100" s="32" t="n">
        <v>98</v>
      </c>
      <c r="B100" s="33" t="n">
        <v>46244.6648907523</v>
      </c>
      <c r="C100" s="32" t="s">
        <v>90</v>
      </c>
      <c r="D100" s="32" t="str">
        <f aca="false">IF($B100="","",IFERROR(VLOOKUP(TRIM($C100),ModelMap,2,FALSE()),TRIM($C100)))</f>
        <v>X628</v>
      </c>
      <c r="E100" s="32" t="s">
        <v>352</v>
      </c>
      <c r="F100" s="32" t="s">
        <v>353</v>
      </c>
      <c r="G100" s="32" t="s">
        <v>132</v>
      </c>
      <c r="H100" s="32"/>
      <c r="I100" s="32"/>
      <c r="J100" s="32" t="s">
        <v>129</v>
      </c>
      <c r="K100" s="32" t="str">
        <f aca="false">IF($B100="","",LOWER(TRIM($G100)&amp;" | "&amp;TRIM($H100)&amp;" | "&amp;TRIM($I100)))</f>
        <v>working |  | </v>
      </c>
      <c r="L100" s="34" t="b">
        <f aca="false">IF($B100="","",SUMPRODUCT(--ISNUMBER(SEARCH(SensorKW,$K100)))&gt;0)</f>
        <v>0</v>
      </c>
      <c r="M100" s="34" t="b">
        <f aca="false">IF($B100="","",SUMPRODUCT(--ISNUMBER(SEARCH(DisplayKW,$K100)))&gt;0)</f>
        <v>0</v>
      </c>
      <c r="N100" s="34" t="b">
        <f aca="false">IF($B100="","",SUMPRODUCT(--ISNUMBER(SEARCH(KeypadKW,$K100)))&gt;0)</f>
        <v>0</v>
      </c>
      <c r="O100" s="34" t="b">
        <f aca="false">IF($B100="","",SUMPRODUCT(--ISNUMBER(SEARCH(PowerKW,$K100)))&gt;0)</f>
        <v>0</v>
      </c>
      <c r="P100" s="34" t="b">
        <f aca="false">IF($B100="","",SUMPRODUCT(--ISNUMBER(SEARCH(SpeakerKW,$K100)))&gt;0)</f>
        <v>0</v>
      </c>
      <c r="Q100" s="34" t="b">
        <f aca="false">IF($B100="","",OR(SUMPRODUCT(--ISNUMBER(SEARCH(EmptyKW,$K100)))&gt;0,LOWER(TRIM($F100))="empty"))</f>
        <v>0</v>
      </c>
      <c r="R100" s="34" t="b">
        <f aca="false">IF($B100="","",OR(ISNUMBER(SEARCH("repair",$G100)),ISNUMBER(SEARCH("not working",$G100))))</f>
        <v>0</v>
      </c>
      <c r="S100" s="32" t="str">
        <f aca="false">IF(AND($B100&lt;&gt;"",$M100=TRUE(),$L100=FALSE(),$Q100=FALSE()),COUNTIFS($M$3:$M100,TRUE(),$L$3:$L100,FALSE(),$Q$3:$Q100,FALSE()),"")</f>
        <v/>
      </c>
      <c r="T100" s="32" t="str">
        <f aca="false">IF($B100="","",IF($Q100=TRUE(),"U1",IF($L100=TRUE(),"S1",IF($M100=TRUE(),"D"&amp;MIN(4,INT(($S100-1)/DisplayCapacity)+1),IF($N100=TRUE(),"K1",IF($O100=TRUE(),"P1",IF($P100=TRUE(),"U1",IF($R100=TRUE(),"U1","W"))))))))</f>
        <v>W</v>
      </c>
      <c r="U100" s="32" t="str">
        <f aca="false">IF($T100="","",$T100&amp;"-"&amp;COUNTIF($T$3:T100,$T100))</f>
        <v>W-55</v>
      </c>
      <c r="V100" s="32" t="str">
        <f aca="false">IF($B100="","",_xlfn.TEXTJOIN(" | ",TRUE(),IF($Q100=TRUE(),"Empty box - no physical device, verify status",""),IF(AND($P100=TRUE(),$L100=FALSE(),$M100=FALSE(),$N100=FALSE(),$O100=FALSE(),$Q100=FALSE()),"Speaker fault only - needs manual box assignment",""),IF(AND($R100=TRUE(),$L100=FALSE(),$M100=FALSE(),$N100=FALSE(),$O100=FALSE(),$P100=FALSE(),$Q100=FALSE()),"No fault detail given - needs technician inspection",""),IF(AND(COUNTIF($F$3:$F$252,$F100)&gt;1,LOWER(TRIM($F100))&lt;&gt;"empty"),"Duplicate Serial No - verify device identity",""),IF((--$L100+--$M100+--$N100+--$O100+--$P100)&gt;1,"Multiple fault types detected - review full details before repair","")))</f>
        <v/>
      </c>
      <c r="W100" s="32" t="n">
        <v>0</v>
      </c>
      <c r="X100" s="32"/>
    </row>
    <row r="101" customFormat="false" ht="15" hidden="false" customHeight="true" outlineLevel="0" collapsed="false">
      <c r="A101" s="26" t="n">
        <v>99</v>
      </c>
      <c r="B101" s="30" t="n">
        <v>46245.399776794</v>
      </c>
      <c r="C101" s="26" t="s">
        <v>94</v>
      </c>
      <c r="D101" s="26" t="str">
        <f aca="false">IF($B101="","",IFERROR(VLOOKUP(TRIM($C101),ModelMap,2,FALSE()),TRIM($C101)))</f>
        <v>X628 Plus</v>
      </c>
      <c r="E101" s="26" t="s">
        <v>354</v>
      </c>
      <c r="F101" s="26" t="s">
        <v>355</v>
      </c>
      <c r="G101" s="26" t="s">
        <v>150</v>
      </c>
      <c r="H101" s="26" t="s">
        <v>230</v>
      </c>
      <c r="I101" s="26"/>
      <c r="J101" s="26" t="s">
        <v>129</v>
      </c>
      <c r="K101" s="26" t="str">
        <f aca="false">IF($B101="","",LOWER(TRIM($G101)&amp;" | "&amp;TRIM($H101)&amp;" | "&amp;TRIM($I101)))</f>
        <v>working, have to repair | sensor is not working | </v>
      </c>
      <c r="L101" s="31" t="b">
        <f aca="false">IF($B101="","",SUMPRODUCT(--ISNUMBER(SEARCH(SensorKW,$K101)))&gt;0)</f>
        <v>1</v>
      </c>
      <c r="M101" s="31" t="b">
        <f aca="false">IF($B101="","",SUMPRODUCT(--ISNUMBER(SEARCH(DisplayKW,$K101)))&gt;0)</f>
        <v>0</v>
      </c>
      <c r="N101" s="31" t="b">
        <f aca="false">IF($B101="","",SUMPRODUCT(--ISNUMBER(SEARCH(KeypadKW,$K101)))&gt;0)</f>
        <v>0</v>
      </c>
      <c r="O101" s="31" t="b">
        <f aca="false">IF($B101="","",SUMPRODUCT(--ISNUMBER(SEARCH(PowerKW,$K101)))&gt;0)</f>
        <v>0</v>
      </c>
      <c r="P101" s="31" t="b">
        <f aca="false">IF($B101="","",SUMPRODUCT(--ISNUMBER(SEARCH(SpeakerKW,$K101)))&gt;0)</f>
        <v>0</v>
      </c>
      <c r="Q101" s="31" t="b">
        <f aca="false">IF($B101="","",OR(SUMPRODUCT(--ISNUMBER(SEARCH(EmptyKW,$K101)))&gt;0,LOWER(TRIM($F101))="empty"))</f>
        <v>0</v>
      </c>
      <c r="R101" s="31" t="b">
        <f aca="false">IF($B101="","",OR(ISNUMBER(SEARCH("repair",$G101)),ISNUMBER(SEARCH("not working",$G101))))</f>
        <v>1</v>
      </c>
      <c r="S101" s="26" t="str">
        <f aca="false">IF(AND($B101&lt;&gt;"",$M101=TRUE(),$L101=FALSE(),$Q101=FALSE()),COUNTIFS($M$3:$M101,TRUE(),$L$3:$L101,FALSE(),$Q$3:$Q101,FALSE()),"")</f>
        <v/>
      </c>
      <c r="T101" s="26" t="str">
        <f aca="false">IF($B101="","",IF($Q101=TRUE(),"U1",IF($L101=TRUE(),"S1",IF($M101=TRUE(),"D"&amp;MIN(4,INT(($S101-1)/DisplayCapacity)+1),IF($N101=TRUE(),"K1",IF($O101=TRUE(),"P1",IF($P101=TRUE(),"U1",IF($R101=TRUE(),"U1","W"))))))))</f>
        <v>S1</v>
      </c>
      <c r="U101" s="26" t="str">
        <f aca="false">IF($T101="","",$T101&amp;"-"&amp;COUNTIF($T$3:T101,$T101))</f>
        <v>S1-20</v>
      </c>
      <c r="V101" s="26" t="str">
        <f aca="false">IF($B101="","",_xlfn.TEXTJOIN(" | ",TRUE(),IF($Q101=TRUE(),"Empty box - no physical device, verify status",""),IF(AND($P101=TRUE(),$L101=FALSE(),$M101=FALSE(),$N101=FALSE(),$O101=FALSE(),$Q101=FALSE()),"Speaker fault only - needs manual box assignment",""),IF(AND($R101=TRUE(),$L101=FALSE(),$M101=FALSE(),$N101=FALSE(),$O101=FALSE(),$P101=FALSE(),$Q101=FALSE()),"No fault detail given - needs technician inspection",""),IF(AND(COUNTIF($F$3:$F$252,$F101)&gt;1,LOWER(TRIM($F101))&lt;&gt;"empty"),"Duplicate Serial No - verify device identity",""),IF((--$L101+--$M101+--$N101+--$O101+--$P101)&gt;1,"Multiple fault types detected - review full details before repair","")))</f>
        <v/>
      </c>
      <c r="W101" s="26" t="n">
        <v>0</v>
      </c>
      <c r="X101" s="26"/>
    </row>
    <row r="102" customFormat="false" ht="15" hidden="false" customHeight="true" outlineLevel="0" collapsed="false">
      <c r="A102" s="32" t="n">
        <v>100</v>
      </c>
      <c r="B102" s="33" t="n">
        <v>46245.404172037</v>
      </c>
      <c r="C102" s="32" t="s">
        <v>90</v>
      </c>
      <c r="D102" s="32" t="str">
        <f aca="false">IF($B102="","",IFERROR(VLOOKUP(TRIM($C102),ModelMap,2,FALSE()),TRIM($C102)))</f>
        <v>X628</v>
      </c>
      <c r="E102" s="32" t="s">
        <v>356</v>
      </c>
      <c r="F102" s="32" t="s">
        <v>357</v>
      </c>
      <c r="G102" s="32" t="s">
        <v>132</v>
      </c>
      <c r="H102" s="32"/>
      <c r="I102" s="32" t="s">
        <v>164</v>
      </c>
      <c r="J102" s="32" t="s">
        <v>129</v>
      </c>
      <c r="K102" s="32" t="str">
        <f aca="false">IF($B102="","",LOWER(TRIM($G102)&amp;" | "&amp;TRIM($H102)&amp;" | "&amp;TRIM($I102)))</f>
        <v>working |  | display is not clear</v>
      </c>
      <c r="L102" s="34" t="b">
        <f aca="false">IF($B102="","",SUMPRODUCT(--ISNUMBER(SEARCH(SensorKW,$K102)))&gt;0)</f>
        <v>0</v>
      </c>
      <c r="M102" s="34" t="b">
        <f aca="false">IF($B102="","",SUMPRODUCT(--ISNUMBER(SEARCH(DisplayKW,$K102)))&gt;0)</f>
        <v>1</v>
      </c>
      <c r="N102" s="34" t="b">
        <f aca="false">IF($B102="","",SUMPRODUCT(--ISNUMBER(SEARCH(KeypadKW,$K102)))&gt;0)</f>
        <v>0</v>
      </c>
      <c r="O102" s="34" t="b">
        <f aca="false">IF($B102="","",SUMPRODUCT(--ISNUMBER(SEARCH(PowerKW,$K102)))&gt;0)</f>
        <v>0</v>
      </c>
      <c r="P102" s="34" t="b">
        <f aca="false">IF($B102="","",SUMPRODUCT(--ISNUMBER(SEARCH(SpeakerKW,$K102)))&gt;0)</f>
        <v>0</v>
      </c>
      <c r="Q102" s="34" t="b">
        <f aca="false">IF($B102="","",OR(SUMPRODUCT(--ISNUMBER(SEARCH(EmptyKW,$K102)))&gt;0,LOWER(TRIM($F102))="empty"))</f>
        <v>0</v>
      </c>
      <c r="R102" s="34" t="b">
        <f aca="false">IF($B102="","",OR(ISNUMBER(SEARCH("repair",$G102)),ISNUMBER(SEARCH("not working",$G102))))</f>
        <v>0</v>
      </c>
      <c r="S102" s="32" t="n">
        <f aca="false">IF(AND($B102&lt;&gt;"",$M102=TRUE(),$L102=FALSE(),$Q102=FALSE()),COUNTIFS($M$3:$M102,TRUE(),$L$3:$L102,FALSE(),$Q$3:$Q102,FALSE()),"")</f>
        <v>17</v>
      </c>
      <c r="T102" s="32" t="str">
        <f aca="false">IF($B102="","",IF($Q102=TRUE(),"U1",IF($L102=TRUE(),"S1",IF($M102=TRUE(),"D"&amp;MIN(4,INT(($S102-1)/DisplayCapacity)+1),IF($N102=TRUE(),"K1",IF($O102=TRUE(),"P1",IF($P102=TRUE(),"U1",IF($R102=TRUE(),"U1","W"))))))))</f>
        <v>D3</v>
      </c>
      <c r="U102" s="32" t="str">
        <f aca="false">IF($T102="","",$T102&amp;"-"&amp;COUNTIF($T$3:T102,$T102))</f>
        <v>D3-3</v>
      </c>
      <c r="V102" s="32" t="str">
        <f aca="false">IF($B102="","",_xlfn.TEXTJOIN(" | ",TRUE(),IF($Q102=TRUE(),"Empty box - no physical device, verify status",""),IF(AND($P102=TRUE(),$L102=FALSE(),$M102=FALSE(),$N102=FALSE(),$O102=FALSE(),$Q102=FALSE()),"Speaker fault only - needs manual box assignment",""),IF(AND($R102=TRUE(),$L102=FALSE(),$M102=FALSE(),$N102=FALSE(),$O102=FALSE(),$P102=FALSE(),$Q102=FALSE()),"No fault detail given - needs technician inspection",""),IF(AND(COUNTIF($F$3:$F$252,$F102)&gt;1,LOWER(TRIM($F102))&lt;&gt;"empty"),"Duplicate Serial No - verify device identity",""),IF((--$L102+--$M102+--$N102+--$O102+--$P102)&gt;1,"Multiple fault types detected - review full details before repair","")))</f>
        <v/>
      </c>
      <c r="W102" s="32" t="n">
        <v>0</v>
      </c>
      <c r="X102" s="32"/>
    </row>
    <row r="103" customFormat="false" ht="15" hidden="false" customHeight="true" outlineLevel="0" collapsed="false">
      <c r="A103" s="26" t="n">
        <v>101</v>
      </c>
      <c r="B103" s="30" t="n">
        <v>46245.4091954398</v>
      </c>
      <c r="C103" s="26" t="s">
        <v>90</v>
      </c>
      <c r="D103" s="26" t="str">
        <f aca="false">IF($B103="","",IFERROR(VLOOKUP(TRIM($C103),ModelMap,2,FALSE()),TRIM($C103)))</f>
        <v>X628</v>
      </c>
      <c r="E103" s="26" t="s">
        <v>358</v>
      </c>
      <c r="F103" s="26" t="s">
        <v>359</v>
      </c>
      <c r="G103" s="26" t="s">
        <v>132</v>
      </c>
      <c r="H103" s="26"/>
      <c r="I103" s="26" t="s">
        <v>360</v>
      </c>
      <c r="J103" s="26" t="s">
        <v>129</v>
      </c>
      <c r="K103" s="26" t="str">
        <f aca="false">IF($B103="","",LOWER(TRIM($G103)&amp;" | "&amp;TRIM($H103)&amp;" | "&amp;TRIM($I103)))</f>
        <v>working |  | not have power supply, keypad issue</v>
      </c>
      <c r="L103" s="31" t="b">
        <f aca="false">IF($B103="","",SUMPRODUCT(--ISNUMBER(SEARCH(SensorKW,$K103)))&gt;0)</f>
        <v>0</v>
      </c>
      <c r="M103" s="31" t="b">
        <f aca="false">IF($B103="","",SUMPRODUCT(--ISNUMBER(SEARCH(DisplayKW,$K103)))&gt;0)</f>
        <v>0</v>
      </c>
      <c r="N103" s="31" t="b">
        <f aca="false">IF($B103="","",SUMPRODUCT(--ISNUMBER(SEARCH(KeypadKW,$K103)))&gt;0)</f>
        <v>1</v>
      </c>
      <c r="O103" s="31" t="b">
        <f aca="false">IF($B103="","",SUMPRODUCT(--ISNUMBER(SEARCH(PowerKW,$K103)))&gt;0)</f>
        <v>1</v>
      </c>
      <c r="P103" s="31" t="b">
        <f aca="false">IF($B103="","",SUMPRODUCT(--ISNUMBER(SEARCH(SpeakerKW,$K103)))&gt;0)</f>
        <v>0</v>
      </c>
      <c r="Q103" s="31" t="b">
        <f aca="false">IF($B103="","",OR(SUMPRODUCT(--ISNUMBER(SEARCH(EmptyKW,$K103)))&gt;0,LOWER(TRIM($F103))="empty"))</f>
        <v>0</v>
      </c>
      <c r="R103" s="31" t="b">
        <f aca="false">IF($B103="","",OR(ISNUMBER(SEARCH("repair",$G103)),ISNUMBER(SEARCH("not working",$G103))))</f>
        <v>0</v>
      </c>
      <c r="S103" s="26" t="str">
        <f aca="false">IF(AND($B103&lt;&gt;"",$M103=TRUE(),$L103=FALSE(),$Q103=FALSE()),COUNTIFS($M$3:$M103,TRUE(),$L$3:$L103,FALSE(),$Q$3:$Q103,FALSE()),"")</f>
        <v/>
      </c>
      <c r="T103" s="26" t="str">
        <f aca="false">IF($B103="","",IF($Q103=TRUE(),"U1",IF($L103=TRUE(),"S1",IF($M103=TRUE(),"D"&amp;MIN(4,INT(($S103-1)/DisplayCapacity)+1),IF($N103=TRUE(),"K1",IF($O103=TRUE(),"P1",IF($P103=TRUE(),"U1",IF($R103=TRUE(),"U1","W"))))))))</f>
        <v>K1</v>
      </c>
      <c r="U103" s="26" t="str">
        <f aca="false">IF($T103="","",$T103&amp;"-"&amp;COUNTIF($T$3:T103,$T103))</f>
        <v>K1-3</v>
      </c>
      <c r="V103" s="26" t="str">
        <f aca="false">IF($B103="","",_xlfn.TEXTJOIN(" | ",TRUE(),IF($Q103=TRUE(),"Empty box - no physical device, verify status",""),IF(AND($P103=TRUE(),$L103=FALSE(),$M103=FALSE(),$N103=FALSE(),$O103=FALSE(),$Q103=FALSE()),"Speaker fault only - needs manual box assignment",""),IF(AND($R103=TRUE(),$L103=FALSE(),$M103=FALSE(),$N103=FALSE(),$O103=FALSE(),$P103=FALSE(),$Q103=FALSE()),"No fault detail given - needs technician inspection",""),IF(AND(COUNTIF($F$3:$F$252,$F103)&gt;1,LOWER(TRIM($F103))&lt;&gt;"empty"),"Duplicate Serial No - verify device identity",""),IF((--$L103+--$M103+--$N103+--$O103+--$P103)&gt;1,"Multiple fault types detected - review full details before repair","")))</f>
        <v>Multiple fault types detected - review full details before repair</v>
      </c>
      <c r="W103" s="26" t="n">
        <v>0</v>
      </c>
      <c r="X103" s="26"/>
    </row>
    <row r="104" customFormat="false" ht="15" hidden="false" customHeight="true" outlineLevel="0" collapsed="false">
      <c r="A104" s="32" t="n">
        <v>102</v>
      </c>
      <c r="B104" s="33" t="n">
        <v>46245.413666956</v>
      </c>
      <c r="C104" s="32" t="s">
        <v>90</v>
      </c>
      <c r="D104" s="32" t="str">
        <f aca="false">IF($B104="","",IFERROR(VLOOKUP(TRIM($C104),ModelMap,2,FALSE()),TRIM($C104)))</f>
        <v>X628</v>
      </c>
      <c r="E104" s="32" t="s">
        <v>361</v>
      </c>
      <c r="F104" s="32" t="s">
        <v>362</v>
      </c>
      <c r="G104" s="32" t="s">
        <v>132</v>
      </c>
      <c r="H104" s="32"/>
      <c r="I104" s="32" t="s">
        <v>164</v>
      </c>
      <c r="J104" s="32" t="s">
        <v>129</v>
      </c>
      <c r="K104" s="32" t="str">
        <f aca="false">IF($B104="","",LOWER(TRIM($G104)&amp;" | "&amp;TRIM($H104)&amp;" | "&amp;TRIM($I104)))</f>
        <v>working |  | display is not clear</v>
      </c>
      <c r="L104" s="34" t="b">
        <f aca="false">IF($B104="","",SUMPRODUCT(--ISNUMBER(SEARCH(SensorKW,$K104)))&gt;0)</f>
        <v>0</v>
      </c>
      <c r="M104" s="34" t="b">
        <f aca="false">IF($B104="","",SUMPRODUCT(--ISNUMBER(SEARCH(DisplayKW,$K104)))&gt;0)</f>
        <v>1</v>
      </c>
      <c r="N104" s="34" t="b">
        <f aca="false">IF($B104="","",SUMPRODUCT(--ISNUMBER(SEARCH(KeypadKW,$K104)))&gt;0)</f>
        <v>0</v>
      </c>
      <c r="O104" s="34" t="b">
        <f aca="false">IF($B104="","",SUMPRODUCT(--ISNUMBER(SEARCH(PowerKW,$K104)))&gt;0)</f>
        <v>0</v>
      </c>
      <c r="P104" s="34" t="b">
        <f aca="false">IF($B104="","",SUMPRODUCT(--ISNUMBER(SEARCH(SpeakerKW,$K104)))&gt;0)</f>
        <v>0</v>
      </c>
      <c r="Q104" s="34" t="b">
        <f aca="false">IF($B104="","",OR(SUMPRODUCT(--ISNUMBER(SEARCH(EmptyKW,$K104)))&gt;0,LOWER(TRIM($F104))="empty"))</f>
        <v>0</v>
      </c>
      <c r="R104" s="34" t="b">
        <f aca="false">IF($B104="","",OR(ISNUMBER(SEARCH("repair",$G104)),ISNUMBER(SEARCH("not working",$G104))))</f>
        <v>0</v>
      </c>
      <c r="S104" s="32" t="n">
        <f aca="false">IF(AND($B104&lt;&gt;"",$M104=TRUE(),$L104=FALSE(),$Q104=FALSE()),COUNTIFS($M$3:$M104,TRUE(),$L$3:$L104,FALSE(),$Q$3:$Q104,FALSE()),"")</f>
        <v>18</v>
      </c>
      <c r="T104" s="32" t="str">
        <f aca="false">IF($B104="","",IF($Q104=TRUE(),"U1",IF($L104=TRUE(),"S1",IF($M104=TRUE(),"D"&amp;MIN(4,INT(($S104-1)/DisplayCapacity)+1),IF($N104=TRUE(),"K1",IF($O104=TRUE(),"P1",IF($P104=TRUE(),"U1",IF($R104=TRUE(),"U1","W"))))))))</f>
        <v>D3</v>
      </c>
      <c r="U104" s="32" t="str">
        <f aca="false">IF($T104="","",$T104&amp;"-"&amp;COUNTIF($T$3:T104,$T104))</f>
        <v>D3-4</v>
      </c>
      <c r="V104" s="32" t="str">
        <f aca="false">IF($B104="","",_xlfn.TEXTJOIN(" | ",TRUE(),IF($Q104=TRUE(),"Empty box - no physical device, verify status",""),IF(AND($P104=TRUE(),$L104=FALSE(),$M104=FALSE(),$N104=FALSE(),$O104=FALSE(),$Q104=FALSE()),"Speaker fault only - needs manual box assignment",""),IF(AND($R104=TRUE(),$L104=FALSE(),$M104=FALSE(),$N104=FALSE(),$O104=FALSE(),$P104=FALSE(),$Q104=FALSE()),"No fault detail given - needs technician inspection",""),IF(AND(COUNTIF($F$3:$F$252,$F104)&gt;1,LOWER(TRIM($F104))&lt;&gt;"empty"),"Duplicate Serial No - verify device identity",""),IF((--$L104+--$M104+--$N104+--$O104+--$P104)&gt;1,"Multiple fault types detected - review full details before repair","")))</f>
        <v/>
      </c>
      <c r="W104" s="32" t="n">
        <v>0</v>
      </c>
      <c r="X104" s="32"/>
    </row>
    <row r="105" customFormat="false" ht="15" hidden="false" customHeight="true" outlineLevel="0" collapsed="false">
      <c r="A105" s="26" t="n">
        <v>103</v>
      </c>
      <c r="B105" s="30" t="n">
        <v>46245.4163415972</v>
      </c>
      <c r="C105" s="26" t="s">
        <v>90</v>
      </c>
      <c r="D105" s="26" t="str">
        <f aca="false">IF($B105="","",IFERROR(VLOOKUP(TRIM($C105),ModelMap,2,FALSE()),TRIM($C105)))</f>
        <v>X628</v>
      </c>
      <c r="E105" s="26" t="s">
        <v>363</v>
      </c>
      <c r="F105" s="26" t="s">
        <v>364</v>
      </c>
      <c r="G105" s="26" t="s">
        <v>132</v>
      </c>
      <c r="H105" s="26"/>
      <c r="I105" s="26"/>
      <c r="J105" s="26" t="s">
        <v>129</v>
      </c>
      <c r="K105" s="26" t="str">
        <f aca="false">IF($B105="","",LOWER(TRIM($G105)&amp;" | "&amp;TRIM($H105)&amp;" | "&amp;TRIM($I105)))</f>
        <v>working |  | </v>
      </c>
      <c r="L105" s="31" t="b">
        <f aca="false">IF($B105="","",SUMPRODUCT(--ISNUMBER(SEARCH(SensorKW,$K105)))&gt;0)</f>
        <v>0</v>
      </c>
      <c r="M105" s="31" t="b">
        <f aca="false">IF($B105="","",SUMPRODUCT(--ISNUMBER(SEARCH(DisplayKW,$K105)))&gt;0)</f>
        <v>0</v>
      </c>
      <c r="N105" s="31" t="b">
        <f aca="false">IF($B105="","",SUMPRODUCT(--ISNUMBER(SEARCH(KeypadKW,$K105)))&gt;0)</f>
        <v>0</v>
      </c>
      <c r="O105" s="31" t="b">
        <f aca="false">IF($B105="","",SUMPRODUCT(--ISNUMBER(SEARCH(PowerKW,$K105)))&gt;0)</f>
        <v>0</v>
      </c>
      <c r="P105" s="31" t="b">
        <f aca="false">IF($B105="","",SUMPRODUCT(--ISNUMBER(SEARCH(SpeakerKW,$K105)))&gt;0)</f>
        <v>0</v>
      </c>
      <c r="Q105" s="31" t="b">
        <f aca="false">IF($B105="","",OR(SUMPRODUCT(--ISNUMBER(SEARCH(EmptyKW,$K105)))&gt;0,LOWER(TRIM($F105))="empty"))</f>
        <v>0</v>
      </c>
      <c r="R105" s="31" t="b">
        <f aca="false">IF($B105="","",OR(ISNUMBER(SEARCH("repair",$G105)),ISNUMBER(SEARCH("not working",$G105))))</f>
        <v>0</v>
      </c>
      <c r="S105" s="26" t="str">
        <f aca="false">IF(AND($B105&lt;&gt;"",$M105=TRUE(),$L105=FALSE(),$Q105=FALSE()),COUNTIFS($M$3:$M105,TRUE(),$L$3:$L105,FALSE(),$Q$3:$Q105,FALSE()),"")</f>
        <v/>
      </c>
      <c r="T105" s="26" t="str">
        <f aca="false">IF($B105="","",IF($Q105=TRUE(),"U1",IF($L105=TRUE(),"S1",IF($M105=TRUE(),"D"&amp;MIN(4,INT(($S105-1)/DisplayCapacity)+1),IF($N105=TRUE(),"K1",IF($O105=TRUE(),"P1",IF($P105=TRUE(),"U1",IF($R105=TRUE(),"U1","W"))))))))</f>
        <v>W</v>
      </c>
      <c r="U105" s="26" t="str">
        <f aca="false">IF($T105="","",$T105&amp;"-"&amp;COUNTIF($T$3:T105,$T105))</f>
        <v>W-56</v>
      </c>
      <c r="V105" s="26" t="str">
        <f aca="false">IF($B105="","",_xlfn.TEXTJOIN(" | ",TRUE(),IF($Q105=TRUE(),"Empty box - no physical device, verify status",""),IF(AND($P105=TRUE(),$L105=FALSE(),$M105=FALSE(),$N105=FALSE(),$O105=FALSE(),$Q105=FALSE()),"Speaker fault only - needs manual box assignment",""),IF(AND($R105=TRUE(),$L105=FALSE(),$M105=FALSE(),$N105=FALSE(),$O105=FALSE(),$P105=FALSE(),$Q105=FALSE()),"No fault detail given - needs technician inspection",""),IF(AND(COUNTIF($F$3:$F$252,$F105)&gt;1,LOWER(TRIM($F105))&lt;&gt;"empty"),"Duplicate Serial No - verify device identity",""),IF((--$L105+--$M105+--$N105+--$O105+--$P105)&gt;1,"Multiple fault types detected - review full details before repair","")))</f>
        <v/>
      </c>
      <c r="W105" s="26" t="n">
        <v>0</v>
      </c>
      <c r="X105" s="26"/>
    </row>
    <row r="106" customFormat="false" ht="15" hidden="false" customHeight="true" outlineLevel="0" collapsed="false">
      <c r="A106" s="32" t="n">
        <v>104</v>
      </c>
      <c r="B106" s="33" t="n">
        <v>46245.4307793634</v>
      </c>
      <c r="C106" s="32" t="s">
        <v>90</v>
      </c>
      <c r="D106" s="32" t="str">
        <f aca="false">IF($B106="","",IFERROR(VLOOKUP(TRIM($C106),ModelMap,2,FALSE()),TRIM($C106)))</f>
        <v>X628</v>
      </c>
      <c r="E106" s="32" t="s">
        <v>365</v>
      </c>
      <c r="F106" s="32" t="s">
        <v>366</v>
      </c>
      <c r="G106" s="32" t="s">
        <v>132</v>
      </c>
      <c r="H106" s="32"/>
      <c r="I106" s="32"/>
      <c r="J106" s="32" t="s">
        <v>129</v>
      </c>
      <c r="K106" s="32" t="str">
        <f aca="false">IF($B106="","",LOWER(TRIM($G106)&amp;" | "&amp;TRIM($H106)&amp;" | "&amp;TRIM($I106)))</f>
        <v>working |  | </v>
      </c>
      <c r="L106" s="34" t="b">
        <f aca="false">IF($B106="","",SUMPRODUCT(--ISNUMBER(SEARCH(SensorKW,$K106)))&gt;0)</f>
        <v>0</v>
      </c>
      <c r="M106" s="34" t="b">
        <f aca="false">IF($B106="","",SUMPRODUCT(--ISNUMBER(SEARCH(DisplayKW,$K106)))&gt;0)</f>
        <v>0</v>
      </c>
      <c r="N106" s="34" t="b">
        <f aca="false">IF($B106="","",SUMPRODUCT(--ISNUMBER(SEARCH(KeypadKW,$K106)))&gt;0)</f>
        <v>0</v>
      </c>
      <c r="O106" s="34" t="b">
        <f aca="false">IF($B106="","",SUMPRODUCT(--ISNUMBER(SEARCH(PowerKW,$K106)))&gt;0)</f>
        <v>0</v>
      </c>
      <c r="P106" s="34" t="b">
        <f aca="false">IF($B106="","",SUMPRODUCT(--ISNUMBER(SEARCH(SpeakerKW,$K106)))&gt;0)</f>
        <v>0</v>
      </c>
      <c r="Q106" s="34" t="b">
        <f aca="false">IF($B106="","",OR(SUMPRODUCT(--ISNUMBER(SEARCH(EmptyKW,$K106)))&gt;0,LOWER(TRIM($F106))="empty"))</f>
        <v>0</v>
      </c>
      <c r="R106" s="34" t="b">
        <f aca="false">IF($B106="","",OR(ISNUMBER(SEARCH("repair",$G106)),ISNUMBER(SEARCH("not working",$G106))))</f>
        <v>0</v>
      </c>
      <c r="S106" s="32" t="str">
        <f aca="false">IF(AND($B106&lt;&gt;"",$M106=TRUE(),$L106=FALSE(),$Q106=FALSE()),COUNTIFS($M$3:$M106,TRUE(),$L$3:$L106,FALSE(),$Q$3:$Q106,FALSE()),"")</f>
        <v/>
      </c>
      <c r="T106" s="32" t="str">
        <f aca="false">IF($B106="","",IF($Q106=TRUE(),"U1",IF($L106=TRUE(),"S1",IF($M106=TRUE(),"D"&amp;MIN(4,INT(($S106-1)/DisplayCapacity)+1),IF($N106=TRUE(),"K1",IF($O106=TRUE(),"P1",IF($P106=TRUE(),"U1",IF($R106=TRUE(),"U1","W"))))))))</f>
        <v>W</v>
      </c>
      <c r="U106" s="32" t="str">
        <f aca="false">IF($T106="","",$T106&amp;"-"&amp;COUNTIF($T$3:T106,$T106))</f>
        <v>W-57</v>
      </c>
      <c r="V106" s="32" t="str">
        <f aca="false">IF($B106="","",_xlfn.TEXTJOIN(" | ",TRUE(),IF($Q106=TRUE(),"Empty box - no physical device, verify status",""),IF(AND($P106=TRUE(),$L106=FALSE(),$M106=FALSE(),$N106=FALSE(),$O106=FALSE(),$Q106=FALSE()),"Speaker fault only - needs manual box assignment",""),IF(AND($R106=TRUE(),$L106=FALSE(),$M106=FALSE(),$N106=FALSE(),$O106=FALSE(),$P106=FALSE(),$Q106=FALSE()),"No fault detail given - needs technician inspection",""),IF(AND(COUNTIF($F$3:$F$252,$F106)&gt;1,LOWER(TRIM($F106))&lt;&gt;"empty"),"Duplicate Serial No - verify device identity",""),IF((--$L106+--$M106+--$N106+--$O106+--$P106)&gt;1,"Multiple fault types detected - review full details before repair","")))</f>
        <v/>
      </c>
      <c r="W106" s="32" t="n">
        <v>0</v>
      </c>
      <c r="X106" s="32"/>
    </row>
    <row r="107" customFormat="false" ht="15" hidden="false" customHeight="true" outlineLevel="0" collapsed="false">
      <c r="A107" s="26" t="n">
        <v>105</v>
      </c>
      <c r="B107" s="30" t="n">
        <v>46245.4354875347</v>
      </c>
      <c r="C107" s="26" t="s">
        <v>90</v>
      </c>
      <c r="D107" s="26" t="str">
        <f aca="false">IF($B107="","",IFERROR(VLOOKUP(TRIM($C107),ModelMap,2,FALSE()),TRIM($C107)))</f>
        <v>X628</v>
      </c>
      <c r="E107" s="26" t="s">
        <v>367</v>
      </c>
      <c r="F107" s="26" t="s">
        <v>368</v>
      </c>
      <c r="G107" s="26" t="s">
        <v>150</v>
      </c>
      <c r="H107" s="26" t="s">
        <v>156</v>
      </c>
      <c r="I107" s="26"/>
      <c r="J107" s="26" t="s">
        <v>133</v>
      </c>
      <c r="K107" s="26" t="str">
        <f aca="false">IF($B107="","",LOWER(TRIM($G107)&amp;" | "&amp;TRIM($H107)&amp;" | "&amp;TRIM($I107)))</f>
        <v>working, have to repair | no sensor and also have power issue some time device is off automatically | </v>
      </c>
      <c r="L107" s="31" t="b">
        <f aca="false">IF($B107="","",SUMPRODUCT(--ISNUMBER(SEARCH(SensorKW,$K107)))&gt;0)</f>
        <v>1</v>
      </c>
      <c r="M107" s="31" t="b">
        <f aca="false">IF($B107="","",SUMPRODUCT(--ISNUMBER(SEARCH(DisplayKW,$K107)))&gt;0)</f>
        <v>0</v>
      </c>
      <c r="N107" s="31" t="b">
        <f aca="false">IF($B107="","",SUMPRODUCT(--ISNUMBER(SEARCH(KeypadKW,$K107)))&gt;0)</f>
        <v>0</v>
      </c>
      <c r="O107" s="31" t="b">
        <f aca="false">IF($B107="","",SUMPRODUCT(--ISNUMBER(SEARCH(PowerKW,$K107)))&gt;0)</f>
        <v>1</v>
      </c>
      <c r="P107" s="31" t="b">
        <f aca="false">IF($B107="","",SUMPRODUCT(--ISNUMBER(SEARCH(SpeakerKW,$K107)))&gt;0)</f>
        <v>0</v>
      </c>
      <c r="Q107" s="31" t="b">
        <f aca="false">IF($B107="","",OR(SUMPRODUCT(--ISNUMBER(SEARCH(EmptyKW,$K107)))&gt;0,LOWER(TRIM($F107))="empty"))</f>
        <v>0</v>
      </c>
      <c r="R107" s="31" t="b">
        <f aca="false">IF($B107="","",OR(ISNUMBER(SEARCH("repair",$G107)),ISNUMBER(SEARCH("not working",$G107))))</f>
        <v>1</v>
      </c>
      <c r="S107" s="26" t="str">
        <f aca="false">IF(AND($B107&lt;&gt;"",$M107=TRUE(),$L107=FALSE(),$Q107=FALSE()),COUNTIFS($M$3:$M107,TRUE(),$L$3:$L107,FALSE(),$Q$3:$Q107,FALSE()),"")</f>
        <v/>
      </c>
      <c r="T107" s="26" t="str">
        <f aca="false">IF($B107="","",IF($Q107=TRUE(),"U1",IF($L107=TRUE(),"S1",IF($M107=TRUE(),"D"&amp;MIN(4,INT(($S107-1)/DisplayCapacity)+1),IF($N107=TRUE(),"K1",IF($O107=TRUE(),"P1",IF($P107=TRUE(),"U1",IF($R107=TRUE(),"U1","W"))))))))</f>
        <v>S1</v>
      </c>
      <c r="U107" s="26" t="str">
        <f aca="false">IF($T107="","",$T107&amp;"-"&amp;COUNTIF($T$3:T107,$T107))</f>
        <v>S1-21</v>
      </c>
      <c r="V107" s="26" t="str">
        <f aca="false">IF($B107="","",_xlfn.TEXTJOIN(" | ",TRUE(),IF($Q107=TRUE(),"Empty box - no physical device, verify status",""),IF(AND($P107=TRUE(),$L107=FALSE(),$M107=FALSE(),$N107=FALSE(),$O107=FALSE(),$Q107=FALSE()),"Speaker fault only - needs manual box assignment",""),IF(AND($R107=TRUE(),$L107=FALSE(),$M107=FALSE(),$N107=FALSE(),$O107=FALSE(),$P107=FALSE(),$Q107=FALSE()),"No fault detail given - needs technician inspection",""),IF(AND(COUNTIF($F$3:$F$252,$F107)&gt;1,LOWER(TRIM($F107))&lt;&gt;"empty"),"Duplicate Serial No - verify device identity",""),IF((--$L107+--$M107+--$N107+--$O107+--$P107)&gt;1,"Multiple fault types detected - review full details before repair","")))</f>
        <v>Multiple fault types detected - review full details before repair</v>
      </c>
      <c r="W107" s="26" t="n">
        <v>0</v>
      </c>
      <c r="X107" s="26"/>
    </row>
    <row r="108" customFormat="false" ht="15" hidden="false" customHeight="true" outlineLevel="0" collapsed="false">
      <c r="A108" s="32" t="n">
        <v>106</v>
      </c>
      <c r="B108" s="33" t="n">
        <v>46245.4452320718</v>
      </c>
      <c r="C108" s="32" t="s">
        <v>100</v>
      </c>
      <c r="D108" s="32" t="str">
        <f aca="false">IF($B108="","",IFERROR(VLOOKUP(TRIM($C108),ModelMap,2,FALSE()),TRIM($C108)))</f>
        <v>K14</v>
      </c>
      <c r="E108" s="32" t="s">
        <v>369</v>
      </c>
      <c r="F108" s="32" t="s">
        <v>370</v>
      </c>
      <c r="G108" s="32" t="s">
        <v>371</v>
      </c>
      <c r="H108" s="32" t="s">
        <v>372</v>
      </c>
      <c r="I108" s="32"/>
      <c r="J108" s="32" t="s">
        <v>129</v>
      </c>
      <c r="K108" s="32" t="str">
        <f aca="false">IF($B108="","",LOWER(TRIM($G108)&amp;" | "&amp;TRIM($H108)&amp;" | "&amp;TRIM($I108)))</f>
        <v>not working | the device won't turn on. | </v>
      </c>
      <c r="L108" s="34" t="b">
        <f aca="false">IF($B108="","",SUMPRODUCT(--ISNUMBER(SEARCH(SensorKW,$K108)))&gt;0)</f>
        <v>0</v>
      </c>
      <c r="M108" s="34" t="b">
        <f aca="false">IF($B108="","",SUMPRODUCT(--ISNUMBER(SEARCH(DisplayKW,$K108)))&gt;0)</f>
        <v>0</v>
      </c>
      <c r="N108" s="34" t="b">
        <f aca="false">IF($B108="","",SUMPRODUCT(--ISNUMBER(SEARCH(KeypadKW,$K108)))&gt;0)</f>
        <v>0</v>
      </c>
      <c r="O108" s="34" t="b">
        <f aca="false">IF($B108="","",SUMPRODUCT(--ISNUMBER(SEARCH(PowerKW,$K108)))&gt;0)</f>
        <v>1</v>
      </c>
      <c r="P108" s="34" t="b">
        <f aca="false">IF($B108="","",SUMPRODUCT(--ISNUMBER(SEARCH(SpeakerKW,$K108)))&gt;0)</f>
        <v>0</v>
      </c>
      <c r="Q108" s="34" t="b">
        <f aca="false">IF($B108="","",OR(SUMPRODUCT(--ISNUMBER(SEARCH(EmptyKW,$K108)))&gt;0,LOWER(TRIM($F108))="empty"))</f>
        <v>0</v>
      </c>
      <c r="R108" s="34" t="b">
        <f aca="false">IF($B108="","",OR(ISNUMBER(SEARCH("repair",$G108)),ISNUMBER(SEARCH("not working",$G108))))</f>
        <v>1</v>
      </c>
      <c r="S108" s="32" t="str">
        <f aca="false">IF(AND($B108&lt;&gt;"",$M108=TRUE(),$L108=FALSE(),$Q108=FALSE()),COUNTIFS($M$3:$M108,TRUE(),$L$3:$L108,FALSE(),$Q$3:$Q108,FALSE()),"")</f>
        <v/>
      </c>
      <c r="T108" s="32" t="str">
        <f aca="false">IF($B108="","",IF($Q108=TRUE(),"U1",IF($L108=TRUE(),"S1",IF($M108=TRUE(),"D"&amp;MIN(4,INT(($S108-1)/DisplayCapacity)+1),IF($N108=TRUE(),"K1",IF($O108=TRUE(),"P1",IF($P108=TRUE(),"U1",IF($R108=TRUE(),"U1","W"))))))))</f>
        <v>P1</v>
      </c>
      <c r="U108" s="32" t="str">
        <f aca="false">IF($T108="","",$T108&amp;"-"&amp;COUNTIF($T$3:T108,$T108))</f>
        <v>P1-4</v>
      </c>
      <c r="V108" s="32" t="str">
        <f aca="false">IF($B108="","",_xlfn.TEXTJOIN(" | ",TRUE(),IF($Q108=TRUE(),"Empty box - no physical device, verify status",""),IF(AND($P108=TRUE(),$L108=FALSE(),$M108=FALSE(),$N108=FALSE(),$O108=FALSE(),$Q108=FALSE()),"Speaker fault only - needs manual box assignment",""),IF(AND($R108=TRUE(),$L108=FALSE(),$M108=FALSE(),$N108=FALSE(),$O108=FALSE(),$P108=FALSE(),$Q108=FALSE()),"No fault detail given - needs technician inspection",""),IF(AND(COUNTIF($F$3:$F$252,$F108)&gt;1,LOWER(TRIM($F108))&lt;&gt;"empty"),"Duplicate Serial No - verify device identity",""),IF((--$L108+--$M108+--$N108+--$O108+--$P108)&gt;1,"Multiple fault types detected - review full details before repair","")))</f>
        <v/>
      </c>
      <c r="W108" s="32" t="n">
        <v>0</v>
      </c>
      <c r="X108" s="32"/>
    </row>
    <row r="109" customFormat="false" ht="15" hidden="false" customHeight="true" outlineLevel="0" collapsed="false">
      <c r="A109" s="26" t="n">
        <v>107</v>
      </c>
      <c r="B109" s="30" t="n">
        <v>46245.4512692477</v>
      </c>
      <c r="C109" s="26" t="s">
        <v>90</v>
      </c>
      <c r="D109" s="26" t="str">
        <f aca="false">IF($B109="","",IFERROR(VLOOKUP(TRIM($C109),ModelMap,2,FALSE()),TRIM($C109)))</f>
        <v>X628</v>
      </c>
      <c r="E109" s="26" t="s">
        <v>373</v>
      </c>
      <c r="F109" s="26" t="s">
        <v>374</v>
      </c>
      <c r="G109" s="26" t="s">
        <v>132</v>
      </c>
      <c r="H109" s="26"/>
      <c r="I109" s="26" t="s">
        <v>320</v>
      </c>
      <c r="J109" s="26" t="s">
        <v>129</v>
      </c>
      <c r="K109" s="26" t="str">
        <f aca="false">IF($B109="","",LOWER(TRIM($G109)&amp;" | "&amp;TRIM($H109)&amp;" | "&amp;TRIM($I109)))</f>
        <v>working |  | display is unclear</v>
      </c>
      <c r="L109" s="31" t="b">
        <f aca="false">IF($B109="","",SUMPRODUCT(--ISNUMBER(SEARCH(SensorKW,$K109)))&gt;0)</f>
        <v>0</v>
      </c>
      <c r="M109" s="31" t="b">
        <f aca="false">IF($B109="","",SUMPRODUCT(--ISNUMBER(SEARCH(DisplayKW,$K109)))&gt;0)</f>
        <v>1</v>
      </c>
      <c r="N109" s="31" t="b">
        <f aca="false">IF($B109="","",SUMPRODUCT(--ISNUMBER(SEARCH(KeypadKW,$K109)))&gt;0)</f>
        <v>0</v>
      </c>
      <c r="O109" s="31" t="b">
        <f aca="false">IF($B109="","",SUMPRODUCT(--ISNUMBER(SEARCH(PowerKW,$K109)))&gt;0)</f>
        <v>0</v>
      </c>
      <c r="P109" s="31" t="b">
        <f aca="false">IF($B109="","",SUMPRODUCT(--ISNUMBER(SEARCH(SpeakerKW,$K109)))&gt;0)</f>
        <v>0</v>
      </c>
      <c r="Q109" s="31" t="b">
        <f aca="false">IF($B109="","",OR(SUMPRODUCT(--ISNUMBER(SEARCH(EmptyKW,$K109)))&gt;0,LOWER(TRIM($F109))="empty"))</f>
        <v>0</v>
      </c>
      <c r="R109" s="31" t="b">
        <f aca="false">IF($B109="","",OR(ISNUMBER(SEARCH("repair",$G109)),ISNUMBER(SEARCH("not working",$G109))))</f>
        <v>0</v>
      </c>
      <c r="S109" s="26" t="n">
        <f aca="false">IF(AND($B109&lt;&gt;"",$M109=TRUE(),$L109=FALSE(),$Q109=FALSE()),COUNTIFS($M$3:$M109,TRUE(),$L$3:$L109,FALSE(),$Q$3:$Q109,FALSE()),"")</f>
        <v>19</v>
      </c>
      <c r="T109" s="26" t="str">
        <f aca="false">IF($B109="","",IF($Q109=TRUE(),"U1",IF($L109=TRUE(),"S1",IF($M109=TRUE(),"D"&amp;MIN(4,INT(($S109-1)/DisplayCapacity)+1),IF($N109=TRUE(),"K1",IF($O109=TRUE(),"P1",IF($P109=TRUE(),"U1",IF($R109=TRUE(),"U1","W"))))))))</f>
        <v>D3</v>
      </c>
      <c r="U109" s="26" t="str">
        <f aca="false">IF($T109="","",$T109&amp;"-"&amp;COUNTIF($T$3:T109,$T109))</f>
        <v>D3-5</v>
      </c>
      <c r="V109" s="26" t="str">
        <f aca="false">IF($B109="","",_xlfn.TEXTJOIN(" | ",TRUE(),IF($Q109=TRUE(),"Empty box - no physical device, verify status",""),IF(AND($P109=TRUE(),$L109=FALSE(),$M109=FALSE(),$N109=FALSE(),$O109=FALSE(),$Q109=FALSE()),"Speaker fault only - needs manual box assignment",""),IF(AND($R109=TRUE(),$L109=FALSE(),$M109=FALSE(),$N109=FALSE(),$O109=FALSE(),$P109=FALSE(),$Q109=FALSE()),"No fault detail given - needs technician inspection",""),IF(AND(COUNTIF($F$3:$F$252,$F109)&gt;1,LOWER(TRIM($F109))&lt;&gt;"empty"),"Duplicate Serial No - verify device identity",""),IF((--$L109+--$M109+--$N109+--$O109+--$P109)&gt;1,"Multiple fault types detected - review full details before repair","")))</f>
        <v/>
      </c>
      <c r="W109" s="26" t="n">
        <v>0</v>
      </c>
      <c r="X109" s="26"/>
    </row>
    <row r="110" customFormat="false" ht="15" hidden="false" customHeight="true" outlineLevel="0" collapsed="false">
      <c r="A110" s="32" t="n">
        <v>108</v>
      </c>
      <c r="B110" s="33" t="n">
        <v>46245.4540353704</v>
      </c>
      <c r="C110" s="32" t="s">
        <v>90</v>
      </c>
      <c r="D110" s="32" t="str">
        <f aca="false">IF($B110="","",IFERROR(VLOOKUP(TRIM($C110),ModelMap,2,FALSE()),TRIM($C110)))</f>
        <v>X628</v>
      </c>
      <c r="E110" s="32" t="s">
        <v>375</v>
      </c>
      <c r="F110" s="32" t="s">
        <v>376</v>
      </c>
      <c r="G110" s="32" t="s">
        <v>150</v>
      </c>
      <c r="H110" s="32" t="s">
        <v>156</v>
      </c>
      <c r="I110" s="32"/>
      <c r="J110" s="32" t="s">
        <v>133</v>
      </c>
      <c r="K110" s="32" t="str">
        <f aca="false">IF($B110="","",LOWER(TRIM($G110)&amp;" | "&amp;TRIM($H110)&amp;" | "&amp;TRIM($I110)))</f>
        <v>working, have to repair | no sensor and also have power issue some time device is off automatically | </v>
      </c>
      <c r="L110" s="34" t="b">
        <f aca="false">IF($B110="","",SUMPRODUCT(--ISNUMBER(SEARCH(SensorKW,$K110)))&gt;0)</f>
        <v>1</v>
      </c>
      <c r="M110" s="34" t="b">
        <f aca="false">IF($B110="","",SUMPRODUCT(--ISNUMBER(SEARCH(DisplayKW,$K110)))&gt;0)</f>
        <v>0</v>
      </c>
      <c r="N110" s="34" t="b">
        <f aca="false">IF($B110="","",SUMPRODUCT(--ISNUMBER(SEARCH(KeypadKW,$K110)))&gt;0)</f>
        <v>0</v>
      </c>
      <c r="O110" s="34" t="b">
        <f aca="false">IF($B110="","",SUMPRODUCT(--ISNUMBER(SEARCH(PowerKW,$K110)))&gt;0)</f>
        <v>1</v>
      </c>
      <c r="P110" s="34" t="b">
        <f aca="false">IF($B110="","",SUMPRODUCT(--ISNUMBER(SEARCH(SpeakerKW,$K110)))&gt;0)</f>
        <v>0</v>
      </c>
      <c r="Q110" s="34" t="b">
        <f aca="false">IF($B110="","",OR(SUMPRODUCT(--ISNUMBER(SEARCH(EmptyKW,$K110)))&gt;0,LOWER(TRIM($F110))="empty"))</f>
        <v>0</v>
      </c>
      <c r="R110" s="34" t="b">
        <f aca="false">IF($B110="","",OR(ISNUMBER(SEARCH("repair",$G110)),ISNUMBER(SEARCH("not working",$G110))))</f>
        <v>1</v>
      </c>
      <c r="S110" s="32" t="str">
        <f aca="false">IF(AND($B110&lt;&gt;"",$M110=TRUE(),$L110=FALSE(),$Q110=FALSE()),COUNTIFS($M$3:$M110,TRUE(),$L$3:$L110,FALSE(),$Q$3:$Q110,FALSE()),"")</f>
        <v/>
      </c>
      <c r="T110" s="32" t="str">
        <f aca="false">IF($B110="","",IF($Q110=TRUE(),"U1",IF($L110=TRUE(),"S1",IF($M110=TRUE(),"D"&amp;MIN(4,INT(($S110-1)/DisplayCapacity)+1),IF($N110=TRUE(),"K1",IF($O110=TRUE(),"P1",IF($P110=TRUE(),"U1",IF($R110=TRUE(),"U1","W"))))))))</f>
        <v>S1</v>
      </c>
      <c r="U110" s="32" t="str">
        <f aca="false">IF($T110="","",$T110&amp;"-"&amp;COUNTIF($T$3:T110,$T110))</f>
        <v>S1-22</v>
      </c>
      <c r="V110" s="32" t="str">
        <f aca="false">IF($B110="","",_xlfn.TEXTJOIN(" | ",TRUE(),IF($Q110=TRUE(),"Empty box - no physical device, verify status",""),IF(AND($P110=TRUE(),$L110=FALSE(),$M110=FALSE(),$N110=FALSE(),$O110=FALSE(),$Q110=FALSE()),"Speaker fault only - needs manual box assignment",""),IF(AND($R110=TRUE(),$L110=FALSE(),$M110=FALSE(),$N110=FALSE(),$O110=FALSE(),$P110=FALSE(),$Q110=FALSE()),"No fault detail given - needs technician inspection",""),IF(AND(COUNTIF($F$3:$F$252,$F110)&gt;1,LOWER(TRIM($F110))&lt;&gt;"empty"),"Duplicate Serial No - verify device identity",""),IF((--$L110+--$M110+--$N110+--$O110+--$P110)&gt;1,"Multiple fault types detected - review full details before repair","")))</f>
        <v>Multiple fault types detected - review full details before repair</v>
      </c>
      <c r="W110" s="32" t="n">
        <v>0</v>
      </c>
      <c r="X110" s="32"/>
    </row>
    <row r="111" customFormat="false" ht="15" hidden="false" customHeight="true" outlineLevel="0" collapsed="false">
      <c r="A111" s="26" t="n">
        <v>109</v>
      </c>
      <c r="B111" s="30" t="n">
        <v>46245.4584901273</v>
      </c>
      <c r="C111" s="26" t="s">
        <v>90</v>
      </c>
      <c r="D111" s="26" t="str">
        <f aca="false">IF($B111="","",IFERROR(VLOOKUP(TRIM($C111),ModelMap,2,FALSE()),TRIM($C111)))</f>
        <v>X628</v>
      </c>
      <c r="E111" s="26" t="s">
        <v>377</v>
      </c>
      <c r="F111" s="26" t="s">
        <v>378</v>
      </c>
      <c r="G111" s="26" t="s">
        <v>132</v>
      </c>
      <c r="H111" s="26"/>
      <c r="I111" s="26"/>
      <c r="J111" s="26" t="s">
        <v>129</v>
      </c>
      <c r="K111" s="26" t="str">
        <f aca="false">IF($B111="","",LOWER(TRIM($G111)&amp;" | "&amp;TRIM($H111)&amp;" | "&amp;TRIM($I111)))</f>
        <v>working |  | </v>
      </c>
      <c r="L111" s="31" t="b">
        <f aca="false">IF($B111="","",SUMPRODUCT(--ISNUMBER(SEARCH(SensorKW,$K111)))&gt;0)</f>
        <v>0</v>
      </c>
      <c r="M111" s="31" t="b">
        <f aca="false">IF($B111="","",SUMPRODUCT(--ISNUMBER(SEARCH(DisplayKW,$K111)))&gt;0)</f>
        <v>0</v>
      </c>
      <c r="N111" s="31" t="b">
        <f aca="false">IF($B111="","",SUMPRODUCT(--ISNUMBER(SEARCH(KeypadKW,$K111)))&gt;0)</f>
        <v>0</v>
      </c>
      <c r="O111" s="31" t="b">
        <f aca="false">IF($B111="","",SUMPRODUCT(--ISNUMBER(SEARCH(PowerKW,$K111)))&gt;0)</f>
        <v>0</v>
      </c>
      <c r="P111" s="31" t="b">
        <f aca="false">IF($B111="","",SUMPRODUCT(--ISNUMBER(SEARCH(SpeakerKW,$K111)))&gt;0)</f>
        <v>0</v>
      </c>
      <c r="Q111" s="31" t="b">
        <f aca="false">IF($B111="","",OR(SUMPRODUCT(--ISNUMBER(SEARCH(EmptyKW,$K111)))&gt;0,LOWER(TRIM($F111))="empty"))</f>
        <v>0</v>
      </c>
      <c r="R111" s="31" t="b">
        <f aca="false">IF($B111="","",OR(ISNUMBER(SEARCH("repair",$G111)),ISNUMBER(SEARCH("not working",$G111))))</f>
        <v>0</v>
      </c>
      <c r="S111" s="26" t="str">
        <f aca="false">IF(AND($B111&lt;&gt;"",$M111=TRUE(),$L111=FALSE(),$Q111=FALSE()),COUNTIFS($M$3:$M111,TRUE(),$L$3:$L111,FALSE(),$Q$3:$Q111,FALSE()),"")</f>
        <v/>
      </c>
      <c r="T111" s="26" t="str">
        <f aca="false">IF($B111="","",IF($Q111=TRUE(),"U1",IF($L111=TRUE(),"S1",IF($M111=TRUE(),"D"&amp;MIN(4,INT(($S111-1)/DisplayCapacity)+1),IF($N111=TRUE(),"K1",IF($O111=TRUE(),"P1",IF($P111=TRUE(),"U1",IF($R111=TRUE(),"U1","W"))))))))</f>
        <v>W</v>
      </c>
      <c r="U111" s="26" t="str">
        <f aca="false">IF($T111="","",$T111&amp;"-"&amp;COUNTIF($T$3:T111,$T111))</f>
        <v>W-58</v>
      </c>
      <c r="V111" s="26" t="str">
        <f aca="false">IF($B111="","",_xlfn.TEXTJOIN(" | ",TRUE(),IF($Q111=TRUE(),"Empty box - no physical device, verify status",""),IF(AND($P111=TRUE(),$L111=FALSE(),$M111=FALSE(),$N111=FALSE(),$O111=FALSE(),$Q111=FALSE()),"Speaker fault only - needs manual box assignment",""),IF(AND($R111=TRUE(),$L111=FALSE(),$M111=FALSE(),$N111=FALSE(),$O111=FALSE(),$P111=FALSE(),$Q111=FALSE()),"No fault detail given - needs technician inspection",""),IF(AND(COUNTIF($F$3:$F$252,$F111)&gt;1,LOWER(TRIM($F111))&lt;&gt;"empty"),"Duplicate Serial No - verify device identity",""),IF((--$L111+--$M111+--$N111+--$O111+--$P111)&gt;1,"Multiple fault types detected - review full details before repair","")))</f>
        <v/>
      </c>
      <c r="W111" s="26" t="n">
        <v>0</v>
      </c>
      <c r="X111" s="26"/>
    </row>
    <row r="112" customFormat="false" ht="15" hidden="false" customHeight="true" outlineLevel="0" collapsed="false">
      <c r="A112" s="32" t="n">
        <v>110</v>
      </c>
      <c r="B112" s="33" t="n">
        <v>46245.4609191204</v>
      </c>
      <c r="C112" s="32" t="s">
        <v>90</v>
      </c>
      <c r="D112" s="32" t="str">
        <f aca="false">IF($B112="","",IFERROR(VLOOKUP(TRIM($C112),ModelMap,2,FALSE()),TRIM($C112)))</f>
        <v>X628</v>
      </c>
      <c r="E112" s="32" t="s">
        <v>379</v>
      </c>
      <c r="F112" s="32" t="s">
        <v>380</v>
      </c>
      <c r="G112" s="32" t="s">
        <v>150</v>
      </c>
      <c r="H112" s="32" t="s">
        <v>184</v>
      </c>
      <c r="I112" s="32"/>
      <c r="J112" s="32" t="s">
        <v>133</v>
      </c>
      <c r="K112" s="32" t="str">
        <f aca="false">IF($B112="","",LOWER(TRIM($G112)&amp;" | "&amp;TRIM($H112)&amp;" | "&amp;TRIM($I112)))</f>
        <v>working, have to repair | no sensor | </v>
      </c>
      <c r="L112" s="34" t="b">
        <f aca="false">IF($B112="","",SUMPRODUCT(--ISNUMBER(SEARCH(SensorKW,$K112)))&gt;0)</f>
        <v>1</v>
      </c>
      <c r="M112" s="34" t="b">
        <f aca="false">IF($B112="","",SUMPRODUCT(--ISNUMBER(SEARCH(DisplayKW,$K112)))&gt;0)</f>
        <v>0</v>
      </c>
      <c r="N112" s="34" t="b">
        <f aca="false">IF($B112="","",SUMPRODUCT(--ISNUMBER(SEARCH(KeypadKW,$K112)))&gt;0)</f>
        <v>0</v>
      </c>
      <c r="O112" s="34" t="b">
        <f aca="false">IF($B112="","",SUMPRODUCT(--ISNUMBER(SEARCH(PowerKW,$K112)))&gt;0)</f>
        <v>0</v>
      </c>
      <c r="P112" s="34" t="b">
        <f aca="false">IF($B112="","",SUMPRODUCT(--ISNUMBER(SEARCH(SpeakerKW,$K112)))&gt;0)</f>
        <v>0</v>
      </c>
      <c r="Q112" s="34" t="b">
        <f aca="false">IF($B112="","",OR(SUMPRODUCT(--ISNUMBER(SEARCH(EmptyKW,$K112)))&gt;0,LOWER(TRIM($F112))="empty"))</f>
        <v>0</v>
      </c>
      <c r="R112" s="34" t="b">
        <f aca="false">IF($B112="","",OR(ISNUMBER(SEARCH("repair",$G112)),ISNUMBER(SEARCH("not working",$G112))))</f>
        <v>1</v>
      </c>
      <c r="S112" s="32" t="str">
        <f aca="false">IF(AND($B112&lt;&gt;"",$M112=TRUE(),$L112=FALSE(),$Q112=FALSE()),COUNTIFS($M$3:$M112,TRUE(),$L$3:$L112,FALSE(),$Q$3:$Q112,FALSE()),"")</f>
        <v/>
      </c>
      <c r="T112" s="32" t="str">
        <f aca="false">IF($B112="","",IF($Q112=TRUE(),"U1",IF($L112=TRUE(),"S1",IF($M112=TRUE(),"D"&amp;MIN(4,INT(($S112-1)/DisplayCapacity)+1),IF($N112=TRUE(),"K1",IF($O112=TRUE(),"P1",IF($P112=TRUE(),"U1",IF($R112=TRUE(),"U1","W"))))))))</f>
        <v>S1</v>
      </c>
      <c r="U112" s="32" t="str">
        <f aca="false">IF($T112="","",$T112&amp;"-"&amp;COUNTIF($T$3:T112,$T112))</f>
        <v>S1-23</v>
      </c>
      <c r="V112" s="32" t="str">
        <f aca="false">IF($B112="","",_xlfn.TEXTJOIN(" | ",TRUE(),IF($Q112=TRUE(),"Empty box - no physical device, verify status",""),IF(AND($P112=TRUE(),$L112=FALSE(),$M112=FALSE(),$N112=FALSE(),$O112=FALSE(),$Q112=FALSE()),"Speaker fault only - needs manual box assignment",""),IF(AND($R112=TRUE(),$L112=FALSE(),$M112=FALSE(),$N112=FALSE(),$O112=FALSE(),$P112=FALSE(),$Q112=FALSE()),"No fault detail given - needs technician inspection",""),IF(AND(COUNTIF($F$3:$F$252,$F112)&gt;1,LOWER(TRIM($F112))&lt;&gt;"empty"),"Duplicate Serial No - verify device identity",""),IF((--$L112+--$M112+--$N112+--$O112+--$P112)&gt;1,"Multiple fault types detected - review full details before repair","")))</f>
        <v/>
      </c>
      <c r="W112" s="32" t="n">
        <v>0</v>
      </c>
      <c r="X112" s="32"/>
    </row>
    <row r="113" customFormat="false" ht="15" hidden="false" customHeight="true" outlineLevel="0" collapsed="false">
      <c r="A113" s="26" t="n">
        <v>111</v>
      </c>
      <c r="B113" s="30" t="n">
        <v>46245.4628142593</v>
      </c>
      <c r="C113" s="26" t="s">
        <v>90</v>
      </c>
      <c r="D113" s="26" t="str">
        <f aca="false">IF($B113="","",IFERROR(VLOOKUP(TRIM($C113),ModelMap,2,FALSE()),TRIM($C113)))</f>
        <v>X628</v>
      </c>
      <c r="E113" s="26" t="s">
        <v>381</v>
      </c>
      <c r="F113" s="26" t="s">
        <v>382</v>
      </c>
      <c r="G113" s="26" t="s">
        <v>132</v>
      </c>
      <c r="H113" s="26"/>
      <c r="I113" s="26" t="s">
        <v>307</v>
      </c>
      <c r="J113" s="26" t="s">
        <v>129</v>
      </c>
      <c r="K113" s="26" t="str">
        <f aca="false">IF($B113="","",LOWER(TRIM($G113)&amp;" | "&amp;TRIM($H113)&amp;" | "&amp;TRIM($I113)))</f>
        <v>working |  | display is not clear</v>
      </c>
      <c r="L113" s="31" t="b">
        <f aca="false">IF($B113="","",SUMPRODUCT(--ISNUMBER(SEARCH(SensorKW,$K113)))&gt;0)</f>
        <v>0</v>
      </c>
      <c r="M113" s="31" t="b">
        <f aca="false">IF($B113="","",SUMPRODUCT(--ISNUMBER(SEARCH(DisplayKW,$K113)))&gt;0)</f>
        <v>1</v>
      </c>
      <c r="N113" s="31" t="b">
        <f aca="false">IF($B113="","",SUMPRODUCT(--ISNUMBER(SEARCH(KeypadKW,$K113)))&gt;0)</f>
        <v>0</v>
      </c>
      <c r="O113" s="31" t="b">
        <f aca="false">IF($B113="","",SUMPRODUCT(--ISNUMBER(SEARCH(PowerKW,$K113)))&gt;0)</f>
        <v>0</v>
      </c>
      <c r="P113" s="31" t="b">
        <f aca="false">IF($B113="","",SUMPRODUCT(--ISNUMBER(SEARCH(SpeakerKW,$K113)))&gt;0)</f>
        <v>0</v>
      </c>
      <c r="Q113" s="31" t="b">
        <f aca="false">IF($B113="","",OR(SUMPRODUCT(--ISNUMBER(SEARCH(EmptyKW,$K113)))&gt;0,LOWER(TRIM($F113))="empty"))</f>
        <v>0</v>
      </c>
      <c r="R113" s="31" t="b">
        <f aca="false">IF($B113="","",OR(ISNUMBER(SEARCH("repair",$G113)),ISNUMBER(SEARCH("not working",$G113))))</f>
        <v>0</v>
      </c>
      <c r="S113" s="26" t="n">
        <f aca="false">IF(AND($B113&lt;&gt;"",$M113=TRUE(),$L113=FALSE(),$Q113=FALSE()),COUNTIFS($M$3:$M113,TRUE(),$L$3:$L113,FALSE(),$Q$3:$Q113,FALSE()),"")</f>
        <v>20</v>
      </c>
      <c r="T113" s="26" t="str">
        <f aca="false">IF($B113="","",IF($Q113=TRUE(),"U1",IF($L113=TRUE(),"S1",IF($M113=TRUE(),"D"&amp;MIN(4,INT(($S113-1)/DisplayCapacity)+1),IF($N113=TRUE(),"K1",IF($O113=TRUE(),"P1",IF($P113=TRUE(),"U1",IF($R113=TRUE(),"U1","W"))))))))</f>
        <v>D3</v>
      </c>
      <c r="U113" s="26" t="str">
        <f aca="false">IF($T113="","",$T113&amp;"-"&amp;COUNTIF($T$3:T113,$T113))</f>
        <v>D3-6</v>
      </c>
      <c r="V113" s="26" t="str">
        <f aca="false">IF($B113="","",_xlfn.TEXTJOIN(" | ",TRUE(),IF($Q113=TRUE(),"Empty box - no physical device, verify status",""),IF(AND($P113=TRUE(),$L113=FALSE(),$M113=FALSE(),$N113=FALSE(),$O113=FALSE(),$Q113=FALSE()),"Speaker fault only - needs manual box assignment",""),IF(AND($R113=TRUE(),$L113=FALSE(),$M113=FALSE(),$N113=FALSE(),$O113=FALSE(),$P113=FALSE(),$Q113=FALSE()),"No fault detail given - needs technician inspection",""),IF(AND(COUNTIF($F$3:$F$252,$F113)&gt;1,LOWER(TRIM($F113))&lt;&gt;"empty"),"Duplicate Serial No - verify device identity",""),IF((--$L113+--$M113+--$N113+--$O113+--$P113)&gt;1,"Multiple fault types detected - review full details before repair","")))</f>
        <v/>
      </c>
      <c r="W113" s="26" t="n">
        <v>0</v>
      </c>
      <c r="X113" s="26"/>
    </row>
    <row r="114" customFormat="false" ht="15" hidden="false" customHeight="true" outlineLevel="0" collapsed="false">
      <c r="A114" s="32" t="n">
        <v>112</v>
      </c>
      <c r="B114" s="33" t="n">
        <v>46245.4669918982</v>
      </c>
      <c r="C114" s="32" t="s">
        <v>90</v>
      </c>
      <c r="D114" s="32" t="str">
        <f aca="false">IF($B114="","",IFERROR(VLOOKUP(TRIM($C114),ModelMap,2,FALSE()),TRIM($C114)))</f>
        <v>X628</v>
      </c>
      <c r="E114" s="32" t="s">
        <v>383</v>
      </c>
      <c r="F114" s="32" t="s">
        <v>384</v>
      </c>
      <c r="G114" s="32" t="s">
        <v>132</v>
      </c>
      <c r="H114" s="32"/>
      <c r="I114" s="32"/>
      <c r="J114" s="32" t="s">
        <v>129</v>
      </c>
      <c r="K114" s="32" t="str">
        <f aca="false">IF($B114="","",LOWER(TRIM($G114)&amp;" | "&amp;TRIM($H114)&amp;" | "&amp;TRIM($I114)))</f>
        <v>working |  | </v>
      </c>
      <c r="L114" s="34" t="b">
        <f aca="false">IF($B114="","",SUMPRODUCT(--ISNUMBER(SEARCH(SensorKW,$K114)))&gt;0)</f>
        <v>0</v>
      </c>
      <c r="M114" s="34" t="b">
        <f aca="false">IF($B114="","",SUMPRODUCT(--ISNUMBER(SEARCH(DisplayKW,$K114)))&gt;0)</f>
        <v>0</v>
      </c>
      <c r="N114" s="34" t="b">
        <f aca="false">IF($B114="","",SUMPRODUCT(--ISNUMBER(SEARCH(KeypadKW,$K114)))&gt;0)</f>
        <v>0</v>
      </c>
      <c r="O114" s="34" t="b">
        <f aca="false">IF($B114="","",SUMPRODUCT(--ISNUMBER(SEARCH(PowerKW,$K114)))&gt;0)</f>
        <v>0</v>
      </c>
      <c r="P114" s="34" t="b">
        <f aca="false">IF($B114="","",SUMPRODUCT(--ISNUMBER(SEARCH(SpeakerKW,$K114)))&gt;0)</f>
        <v>0</v>
      </c>
      <c r="Q114" s="34" t="b">
        <f aca="false">IF($B114="","",OR(SUMPRODUCT(--ISNUMBER(SEARCH(EmptyKW,$K114)))&gt;0,LOWER(TRIM($F114))="empty"))</f>
        <v>0</v>
      </c>
      <c r="R114" s="34" t="b">
        <f aca="false">IF($B114="","",OR(ISNUMBER(SEARCH("repair",$G114)),ISNUMBER(SEARCH("not working",$G114))))</f>
        <v>0</v>
      </c>
      <c r="S114" s="32" t="str">
        <f aca="false">IF(AND($B114&lt;&gt;"",$M114=TRUE(),$L114=FALSE(),$Q114=FALSE()),COUNTIFS($M$3:$M114,TRUE(),$L$3:$L114,FALSE(),$Q$3:$Q114,FALSE()),"")</f>
        <v/>
      </c>
      <c r="T114" s="32" t="str">
        <f aca="false">IF($B114="","",IF($Q114=TRUE(),"U1",IF($L114=TRUE(),"S1",IF($M114=TRUE(),"D"&amp;MIN(4,INT(($S114-1)/DisplayCapacity)+1),IF($N114=TRUE(),"K1",IF($O114=TRUE(),"P1",IF($P114=TRUE(),"U1",IF($R114=TRUE(),"U1","W"))))))))</f>
        <v>W</v>
      </c>
      <c r="U114" s="32" t="str">
        <f aca="false">IF($T114="","",$T114&amp;"-"&amp;COUNTIF($T$3:T114,$T114))</f>
        <v>W-59</v>
      </c>
      <c r="V114" s="32" t="str">
        <f aca="false">IF($B114="","",_xlfn.TEXTJOIN(" | ",TRUE(),IF($Q114=TRUE(),"Empty box - no physical device, verify status",""),IF(AND($P114=TRUE(),$L114=FALSE(),$M114=FALSE(),$N114=FALSE(),$O114=FALSE(),$Q114=FALSE()),"Speaker fault only - needs manual box assignment",""),IF(AND($R114=TRUE(),$L114=FALSE(),$M114=FALSE(),$N114=FALSE(),$O114=FALSE(),$P114=FALSE(),$Q114=FALSE()),"No fault detail given - needs technician inspection",""),IF(AND(COUNTIF($F$3:$F$252,$F114)&gt;1,LOWER(TRIM($F114))&lt;&gt;"empty"),"Duplicate Serial No - verify device identity",""),IF((--$L114+--$M114+--$N114+--$O114+--$P114)&gt;1,"Multiple fault types detected - review full details before repair","")))</f>
        <v/>
      </c>
      <c r="W114" s="32" t="n">
        <v>0</v>
      </c>
      <c r="X114" s="32"/>
    </row>
    <row r="115" customFormat="false" ht="15" hidden="false" customHeight="true" outlineLevel="0" collapsed="false">
      <c r="A115" s="26" t="n">
        <v>113</v>
      </c>
      <c r="B115" s="30" t="n">
        <v>46245.4680758449</v>
      </c>
      <c r="C115" s="26" t="s">
        <v>90</v>
      </c>
      <c r="D115" s="26" t="str">
        <f aca="false">IF($B115="","",IFERROR(VLOOKUP(TRIM($C115),ModelMap,2,FALSE()),TRIM($C115)))</f>
        <v>X628</v>
      </c>
      <c r="E115" s="26" t="s">
        <v>385</v>
      </c>
      <c r="F115" s="26" t="s">
        <v>386</v>
      </c>
      <c r="G115" s="26" t="s">
        <v>132</v>
      </c>
      <c r="H115" s="26"/>
      <c r="I115" s="26"/>
      <c r="J115" s="26" t="s">
        <v>129</v>
      </c>
      <c r="K115" s="26" t="str">
        <f aca="false">IF($B115="","",LOWER(TRIM($G115)&amp;" | "&amp;TRIM($H115)&amp;" | "&amp;TRIM($I115)))</f>
        <v>working |  | </v>
      </c>
      <c r="L115" s="31" t="b">
        <f aca="false">IF($B115="","",SUMPRODUCT(--ISNUMBER(SEARCH(SensorKW,$K115)))&gt;0)</f>
        <v>0</v>
      </c>
      <c r="M115" s="31" t="b">
        <f aca="false">IF($B115="","",SUMPRODUCT(--ISNUMBER(SEARCH(DisplayKW,$K115)))&gt;0)</f>
        <v>0</v>
      </c>
      <c r="N115" s="31" t="b">
        <f aca="false">IF($B115="","",SUMPRODUCT(--ISNUMBER(SEARCH(KeypadKW,$K115)))&gt;0)</f>
        <v>0</v>
      </c>
      <c r="O115" s="31" t="b">
        <f aca="false">IF($B115="","",SUMPRODUCT(--ISNUMBER(SEARCH(PowerKW,$K115)))&gt;0)</f>
        <v>0</v>
      </c>
      <c r="P115" s="31" t="b">
        <f aca="false">IF($B115="","",SUMPRODUCT(--ISNUMBER(SEARCH(SpeakerKW,$K115)))&gt;0)</f>
        <v>0</v>
      </c>
      <c r="Q115" s="31" t="b">
        <f aca="false">IF($B115="","",OR(SUMPRODUCT(--ISNUMBER(SEARCH(EmptyKW,$K115)))&gt;0,LOWER(TRIM($F115))="empty"))</f>
        <v>0</v>
      </c>
      <c r="R115" s="31" t="b">
        <f aca="false">IF($B115="","",OR(ISNUMBER(SEARCH("repair",$G115)),ISNUMBER(SEARCH("not working",$G115))))</f>
        <v>0</v>
      </c>
      <c r="S115" s="26" t="str">
        <f aca="false">IF(AND($B115&lt;&gt;"",$M115=TRUE(),$L115=FALSE(),$Q115=FALSE()),COUNTIFS($M$3:$M115,TRUE(),$L$3:$L115,FALSE(),$Q$3:$Q115,FALSE()),"")</f>
        <v/>
      </c>
      <c r="T115" s="26" t="str">
        <f aca="false">IF($B115="","",IF($Q115=TRUE(),"U1",IF($L115=TRUE(),"S1",IF($M115=TRUE(),"D"&amp;MIN(4,INT(($S115-1)/DisplayCapacity)+1),IF($N115=TRUE(),"K1",IF($O115=TRUE(),"P1",IF($P115=TRUE(),"U1",IF($R115=TRUE(),"U1","W"))))))))</f>
        <v>W</v>
      </c>
      <c r="U115" s="26" t="str">
        <f aca="false">IF($T115="","",$T115&amp;"-"&amp;COUNTIF($T$3:T115,$T115))</f>
        <v>W-60</v>
      </c>
      <c r="V115" s="26" t="str">
        <f aca="false">IF($B115="","",_xlfn.TEXTJOIN(" | ",TRUE(),IF($Q115=TRUE(),"Empty box - no physical device, verify status",""),IF(AND($P115=TRUE(),$L115=FALSE(),$M115=FALSE(),$N115=FALSE(),$O115=FALSE(),$Q115=FALSE()),"Speaker fault only - needs manual box assignment",""),IF(AND($R115=TRUE(),$L115=FALSE(),$M115=FALSE(),$N115=FALSE(),$O115=FALSE(),$P115=FALSE(),$Q115=FALSE()),"No fault detail given - needs technician inspection",""),IF(AND(COUNTIF($F$3:$F$252,$F115)&gt;1,LOWER(TRIM($F115))&lt;&gt;"empty"),"Duplicate Serial No - verify device identity",""),IF((--$L115+--$M115+--$N115+--$O115+--$P115)&gt;1,"Multiple fault types detected - review full details before repair","")))</f>
        <v/>
      </c>
      <c r="W115" s="26" t="n">
        <v>0</v>
      </c>
      <c r="X115" s="26"/>
    </row>
    <row r="116" customFormat="false" ht="15" hidden="false" customHeight="true" outlineLevel="0" collapsed="false">
      <c r="A116" s="32" t="n">
        <v>114</v>
      </c>
      <c r="B116" s="33" t="n">
        <v>46245.4700512037</v>
      </c>
      <c r="C116" s="32" t="s">
        <v>90</v>
      </c>
      <c r="D116" s="32" t="str">
        <f aca="false">IF($B116="","",IFERROR(VLOOKUP(TRIM($C116),ModelMap,2,FALSE()),TRIM($C116)))</f>
        <v>X628</v>
      </c>
      <c r="E116" s="32" t="s">
        <v>387</v>
      </c>
      <c r="F116" s="32" t="s">
        <v>388</v>
      </c>
      <c r="G116" s="32" t="s">
        <v>132</v>
      </c>
      <c r="H116" s="32"/>
      <c r="I116" s="32"/>
      <c r="J116" s="32" t="s">
        <v>129</v>
      </c>
      <c r="K116" s="32" t="str">
        <f aca="false">IF($B116="","",LOWER(TRIM($G116)&amp;" | "&amp;TRIM($H116)&amp;" | "&amp;TRIM($I116)))</f>
        <v>working |  | </v>
      </c>
      <c r="L116" s="34" t="b">
        <f aca="false">IF($B116="","",SUMPRODUCT(--ISNUMBER(SEARCH(SensorKW,$K116)))&gt;0)</f>
        <v>0</v>
      </c>
      <c r="M116" s="34" t="b">
        <f aca="false">IF($B116="","",SUMPRODUCT(--ISNUMBER(SEARCH(DisplayKW,$K116)))&gt;0)</f>
        <v>0</v>
      </c>
      <c r="N116" s="34" t="b">
        <f aca="false">IF($B116="","",SUMPRODUCT(--ISNUMBER(SEARCH(KeypadKW,$K116)))&gt;0)</f>
        <v>0</v>
      </c>
      <c r="O116" s="34" t="b">
        <f aca="false">IF($B116="","",SUMPRODUCT(--ISNUMBER(SEARCH(PowerKW,$K116)))&gt;0)</f>
        <v>0</v>
      </c>
      <c r="P116" s="34" t="b">
        <f aca="false">IF($B116="","",SUMPRODUCT(--ISNUMBER(SEARCH(SpeakerKW,$K116)))&gt;0)</f>
        <v>0</v>
      </c>
      <c r="Q116" s="34" t="b">
        <f aca="false">IF($B116="","",OR(SUMPRODUCT(--ISNUMBER(SEARCH(EmptyKW,$K116)))&gt;0,LOWER(TRIM($F116))="empty"))</f>
        <v>0</v>
      </c>
      <c r="R116" s="34" t="b">
        <f aca="false">IF($B116="","",OR(ISNUMBER(SEARCH("repair",$G116)),ISNUMBER(SEARCH("not working",$G116))))</f>
        <v>0</v>
      </c>
      <c r="S116" s="32" t="str">
        <f aca="false">IF(AND($B116&lt;&gt;"",$M116=TRUE(),$L116=FALSE(),$Q116=FALSE()),COUNTIFS($M$3:$M116,TRUE(),$L$3:$L116,FALSE(),$Q$3:$Q116,FALSE()),"")</f>
        <v/>
      </c>
      <c r="T116" s="32" t="str">
        <f aca="false">IF($B116="","",IF($Q116=TRUE(),"U1",IF($L116=TRUE(),"S1",IF($M116=TRUE(),"D"&amp;MIN(4,INT(($S116-1)/DisplayCapacity)+1),IF($N116=TRUE(),"K1",IF($O116=TRUE(),"P1",IF($P116=TRUE(),"U1",IF($R116=TRUE(),"U1","W"))))))))</f>
        <v>W</v>
      </c>
      <c r="U116" s="32" t="str">
        <f aca="false">IF($T116="","",$T116&amp;"-"&amp;COUNTIF($T$3:T116,$T116))</f>
        <v>W-61</v>
      </c>
      <c r="V116" s="32" t="str">
        <f aca="false">IF($B116="","",_xlfn.TEXTJOIN(" | ",TRUE(),IF($Q116=TRUE(),"Empty box - no physical device, verify status",""),IF(AND($P116=TRUE(),$L116=FALSE(),$M116=FALSE(),$N116=FALSE(),$O116=FALSE(),$Q116=FALSE()),"Speaker fault only - needs manual box assignment",""),IF(AND($R116=TRUE(),$L116=FALSE(),$M116=FALSE(),$N116=FALSE(),$O116=FALSE(),$P116=FALSE(),$Q116=FALSE()),"No fault detail given - needs technician inspection",""),IF(AND(COUNTIF($F$3:$F$252,$F116)&gt;1,LOWER(TRIM($F116))&lt;&gt;"empty"),"Duplicate Serial No - verify device identity",""),IF((--$L116+--$M116+--$N116+--$O116+--$P116)&gt;1,"Multiple fault types detected - review full details before repair","")))</f>
        <v/>
      </c>
      <c r="W116" s="32" t="n">
        <v>0</v>
      </c>
      <c r="X116" s="32"/>
    </row>
    <row r="117" customFormat="false" ht="15" hidden="false" customHeight="true" outlineLevel="0" collapsed="false">
      <c r="A117" s="26" t="n">
        <v>115</v>
      </c>
      <c r="B117" s="30" t="n">
        <v>46245.4708335764</v>
      </c>
      <c r="C117" s="26" t="s">
        <v>90</v>
      </c>
      <c r="D117" s="26" t="str">
        <f aca="false">IF($B117="","",IFERROR(VLOOKUP(TRIM($C117),ModelMap,2,FALSE()),TRIM($C117)))</f>
        <v>X628</v>
      </c>
      <c r="E117" s="26" t="s">
        <v>389</v>
      </c>
      <c r="F117" s="26" t="s">
        <v>390</v>
      </c>
      <c r="G117" s="26" t="s">
        <v>132</v>
      </c>
      <c r="H117" s="26"/>
      <c r="I117" s="26" t="s">
        <v>164</v>
      </c>
      <c r="J117" s="26" t="s">
        <v>129</v>
      </c>
      <c r="K117" s="26" t="str">
        <f aca="false">IF($B117="","",LOWER(TRIM($G117)&amp;" | "&amp;TRIM($H117)&amp;" | "&amp;TRIM($I117)))</f>
        <v>working |  | display is not clear</v>
      </c>
      <c r="L117" s="31" t="b">
        <f aca="false">IF($B117="","",SUMPRODUCT(--ISNUMBER(SEARCH(SensorKW,$K117)))&gt;0)</f>
        <v>0</v>
      </c>
      <c r="M117" s="31" t="b">
        <f aca="false">IF($B117="","",SUMPRODUCT(--ISNUMBER(SEARCH(DisplayKW,$K117)))&gt;0)</f>
        <v>1</v>
      </c>
      <c r="N117" s="31" t="b">
        <f aca="false">IF($B117="","",SUMPRODUCT(--ISNUMBER(SEARCH(KeypadKW,$K117)))&gt;0)</f>
        <v>0</v>
      </c>
      <c r="O117" s="31" t="b">
        <f aca="false">IF($B117="","",SUMPRODUCT(--ISNUMBER(SEARCH(PowerKW,$K117)))&gt;0)</f>
        <v>0</v>
      </c>
      <c r="P117" s="31" t="b">
        <f aca="false">IF($B117="","",SUMPRODUCT(--ISNUMBER(SEARCH(SpeakerKW,$K117)))&gt;0)</f>
        <v>0</v>
      </c>
      <c r="Q117" s="31" t="b">
        <f aca="false">IF($B117="","",OR(SUMPRODUCT(--ISNUMBER(SEARCH(EmptyKW,$K117)))&gt;0,LOWER(TRIM($F117))="empty"))</f>
        <v>0</v>
      </c>
      <c r="R117" s="31" t="b">
        <f aca="false">IF($B117="","",OR(ISNUMBER(SEARCH("repair",$G117)),ISNUMBER(SEARCH("not working",$G117))))</f>
        <v>0</v>
      </c>
      <c r="S117" s="26" t="n">
        <f aca="false">IF(AND($B117&lt;&gt;"",$M117=TRUE(),$L117=FALSE(),$Q117=FALSE()),COUNTIFS($M$3:$M117,TRUE(),$L$3:$L117,FALSE(),$Q$3:$Q117,FALSE()),"")</f>
        <v>21</v>
      </c>
      <c r="T117" s="26" t="str">
        <f aca="false">IF($B117="","",IF($Q117=TRUE(),"U1",IF($L117=TRUE(),"S1",IF($M117=TRUE(),"D"&amp;MIN(4,INT(($S117-1)/DisplayCapacity)+1),IF($N117=TRUE(),"K1",IF($O117=TRUE(),"P1",IF($P117=TRUE(),"U1",IF($R117=TRUE(),"U1","W"))))))))</f>
        <v>D3</v>
      </c>
      <c r="U117" s="26" t="str">
        <f aca="false">IF($T117="","",$T117&amp;"-"&amp;COUNTIF($T$3:T117,$T117))</f>
        <v>D3-7</v>
      </c>
      <c r="V117" s="26" t="str">
        <f aca="false">IF($B117="","",_xlfn.TEXTJOIN(" | ",TRUE(),IF($Q117=TRUE(),"Empty box - no physical device, verify status",""),IF(AND($P117=TRUE(),$L117=FALSE(),$M117=FALSE(),$N117=FALSE(),$O117=FALSE(),$Q117=FALSE()),"Speaker fault only - needs manual box assignment",""),IF(AND($R117=TRUE(),$L117=FALSE(),$M117=FALSE(),$N117=FALSE(),$O117=FALSE(),$P117=FALSE(),$Q117=FALSE()),"No fault detail given - needs technician inspection",""),IF(AND(COUNTIF($F$3:$F$252,$F117)&gt;1,LOWER(TRIM($F117))&lt;&gt;"empty"),"Duplicate Serial No - verify device identity",""),IF((--$L117+--$M117+--$N117+--$O117+--$P117)&gt;1,"Multiple fault types detected - review full details before repair","")))</f>
        <v/>
      </c>
      <c r="W117" s="26" t="n">
        <v>0</v>
      </c>
      <c r="X117" s="26"/>
    </row>
    <row r="118" customFormat="false" ht="15" hidden="false" customHeight="true" outlineLevel="0" collapsed="false">
      <c r="A118" s="32" t="n">
        <v>116</v>
      </c>
      <c r="B118" s="33" t="n">
        <v>46245.4739599653</v>
      </c>
      <c r="C118" s="32" t="s">
        <v>90</v>
      </c>
      <c r="D118" s="32" t="str">
        <f aca="false">IF($B118="","",IFERROR(VLOOKUP(TRIM($C118),ModelMap,2,FALSE()),TRIM($C118)))</f>
        <v>X628</v>
      </c>
      <c r="E118" s="32" t="s">
        <v>391</v>
      </c>
      <c r="F118" s="32" t="s">
        <v>392</v>
      </c>
      <c r="G118" s="32" t="s">
        <v>150</v>
      </c>
      <c r="H118" s="32" t="s">
        <v>393</v>
      </c>
      <c r="I118" s="32" t="s">
        <v>394</v>
      </c>
      <c r="J118" s="32" t="s">
        <v>129</v>
      </c>
      <c r="K118" s="32" t="str">
        <f aca="false">IF($B118="","",LOWER(TRIM($G118)&amp;" | "&amp;TRIM($H118)&amp;" | "&amp;TRIM($I118)))</f>
        <v>working, have to repair | finger print scanner is not working | display is not clear and, in key pad some keys have issues</v>
      </c>
      <c r="L118" s="34" t="b">
        <f aca="false">IF($B118="","",SUMPRODUCT(--ISNUMBER(SEARCH(SensorKW,$K118)))&gt;0)</f>
        <v>1</v>
      </c>
      <c r="M118" s="34" t="b">
        <f aca="false">IF($B118="","",SUMPRODUCT(--ISNUMBER(SEARCH(DisplayKW,$K118)))&gt;0)</f>
        <v>1</v>
      </c>
      <c r="N118" s="34" t="b">
        <f aca="false">IF($B118="","",SUMPRODUCT(--ISNUMBER(SEARCH(KeypadKW,$K118)))&gt;0)</f>
        <v>1</v>
      </c>
      <c r="O118" s="34" t="b">
        <f aca="false">IF($B118="","",SUMPRODUCT(--ISNUMBER(SEARCH(PowerKW,$K118)))&gt;0)</f>
        <v>0</v>
      </c>
      <c r="P118" s="34" t="b">
        <f aca="false">IF($B118="","",SUMPRODUCT(--ISNUMBER(SEARCH(SpeakerKW,$K118)))&gt;0)</f>
        <v>0</v>
      </c>
      <c r="Q118" s="34" t="b">
        <f aca="false">IF($B118="","",OR(SUMPRODUCT(--ISNUMBER(SEARCH(EmptyKW,$K118)))&gt;0,LOWER(TRIM($F118))="empty"))</f>
        <v>0</v>
      </c>
      <c r="R118" s="34" t="b">
        <f aca="false">IF($B118="","",OR(ISNUMBER(SEARCH("repair",$G118)),ISNUMBER(SEARCH("not working",$G118))))</f>
        <v>1</v>
      </c>
      <c r="S118" s="32" t="str">
        <f aca="false">IF(AND($B118&lt;&gt;"",$M118=TRUE(),$L118=FALSE(),$Q118=FALSE()),COUNTIFS($M$3:$M118,TRUE(),$L$3:$L118,FALSE(),$Q$3:$Q118,FALSE()),"")</f>
        <v/>
      </c>
      <c r="T118" s="32" t="str">
        <f aca="false">IF($B118="","",IF($Q118=TRUE(),"U1",IF($L118=TRUE(),"S1",IF($M118=TRUE(),"D"&amp;MIN(4,INT(($S118-1)/DisplayCapacity)+1),IF($N118=TRUE(),"K1",IF($O118=TRUE(),"P1",IF($P118=TRUE(),"U1",IF($R118=TRUE(),"U1","W"))))))))</f>
        <v>S1</v>
      </c>
      <c r="U118" s="32" t="str">
        <f aca="false">IF($T118="","",$T118&amp;"-"&amp;COUNTIF($T$3:T118,$T118))</f>
        <v>S1-24</v>
      </c>
      <c r="V118" s="32" t="str">
        <f aca="false">IF($B118="","",_xlfn.TEXTJOIN(" | ",TRUE(),IF($Q118=TRUE(),"Empty box - no physical device, verify status",""),IF(AND($P118=TRUE(),$L118=FALSE(),$M118=FALSE(),$N118=FALSE(),$O118=FALSE(),$Q118=FALSE()),"Speaker fault only - needs manual box assignment",""),IF(AND($R118=TRUE(),$L118=FALSE(),$M118=FALSE(),$N118=FALSE(),$O118=FALSE(),$P118=FALSE(),$Q118=FALSE()),"No fault detail given - needs technician inspection",""),IF(AND(COUNTIF($F$3:$F$252,$F118)&gt;1,LOWER(TRIM($F118))&lt;&gt;"empty"),"Duplicate Serial No - verify device identity",""),IF((--$L118+--$M118+--$N118+--$O118+--$P118)&gt;1,"Multiple fault types detected - review full details before repair","")))</f>
        <v>Multiple fault types detected - review full details before repair</v>
      </c>
      <c r="W118" s="32" t="n">
        <v>0</v>
      </c>
      <c r="X118" s="32"/>
    </row>
    <row r="119" customFormat="false" ht="15" hidden="false" customHeight="true" outlineLevel="0" collapsed="false">
      <c r="A119" s="26" t="n">
        <v>117</v>
      </c>
      <c r="B119" s="30" t="n">
        <v>46245.4750807523</v>
      </c>
      <c r="C119" s="26" t="s">
        <v>90</v>
      </c>
      <c r="D119" s="26" t="str">
        <f aca="false">IF($B119="","",IFERROR(VLOOKUP(TRIM($C119),ModelMap,2,FALSE()),TRIM($C119)))</f>
        <v>X628</v>
      </c>
      <c r="E119" s="26" t="s">
        <v>395</v>
      </c>
      <c r="F119" s="26" t="s">
        <v>396</v>
      </c>
      <c r="G119" s="26" t="s">
        <v>132</v>
      </c>
      <c r="H119" s="26"/>
      <c r="I119" s="26" t="s">
        <v>164</v>
      </c>
      <c r="J119" s="26" t="s">
        <v>129</v>
      </c>
      <c r="K119" s="26" t="str">
        <f aca="false">IF($B119="","",LOWER(TRIM($G119)&amp;" | "&amp;TRIM($H119)&amp;" | "&amp;TRIM($I119)))</f>
        <v>working |  | display is not clear</v>
      </c>
      <c r="L119" s="31" t="b">
        <f aca="false">IF($B119="","",SUMPRODUCT(--ISNUMBER(SEARCH(SensorKW,$K119)))&gt;0)</f>
        <v>0</v>
      </c>
      <c r="M119" s="31" t="b">
        <f aca="false">IF($B119="","",SUMPRODUCT(--ISNUMBER(SEARCH(DisplayKW,$K119)))&gt;0)</f>
        <v>1</v>
      </c>
      <c r="N119" s="31" t="b">
        <f aca="false">IF($B119="","",SUMPRODUCT(--ISNUMBER(SEARCH(KeypadKW,$K119)))&gt;0)</f>
        <v>0</v>
      </c>
      <c r="O119" s="31" t="b">
        <f aca="false">IF($B119="","",SUMPRODUCT(--ISNUMBER(SEARCH(PowerKW,$K119)))&gt;0)</f>
        <v>0</v>
      </c>
      <c r="P119" s="31" t="b">
        <f aca="false">IF($B119="","",SUMPRODUCT(--ISNUMBER(SEARCH(SpeakerKW,$K119)))&gt;0)</f>
        <v>0</v>
      </c>
      <c r="Q119" s="31" t="b">
        <f aca="false">IF($B119="","",OR(SUMPRODUCT(--ISNUMBER(SEARCH(EmptyKW,$K119)))&gt;0,LOWER(TRIM($F119))="empty"))</f>
        <v>0</v>
      </c>
      <c r="R119" s="31" t="b">
        <f aca="false">IF($B119="","",OR(ISNUMBER(SEARCH("repair",$G119)),ISNUMBER(SEARCH("not working",$G119))))</f>
        <v>0</v>
      </c>
      <c r="S119" s="26" t="n">
        <f aca="false">IF(AND($B119&lt;&gt;"",$M119=TRUE(),$L119=FALSE(),$Q119=FALSE()),COUNTIFS($M$3:$M119,TRUE(),$L$3:$L119,FALSE(),$Q$3:$Q119,FALSE()),"")</f>
        <v>22</v>
      </c>
      <c r="T119" s="26" t="str">
        <f aca="false">IF($B119="","",IF($Q119=TRUE(),"U1",IF($L119=TRUE(),"S1",IF($M119=TRUE(),"D"&amp;MIN(4,INT(($S119-1)/DisplayCapacity)+1),IF($N119=TRUE(),"K1",IF($O119=TRUE(),"P1",IF($P119=TRUE(),"U1",IF($R119=TRUE(),"U1","W"))))))))</f>
        <v>D4</v>
      </c>
      <c r="U119" s="26" t="str">
        <f aca="false">IF($T119="","",$T119&amp;"-"&amp;COUNTIF($T$3:T119,$T119))</f>
        <v>D4-1</v>
      </c>
      <c r="V119" s="26" t="str">
        <f aca="false">IF($B119="","",_xlfn.TEXTJOIN(" | ",TRUE(),IF($Q119=TRUE(),"Empty box - no physical device, verify status",""),IF(AND($P119=TRUE(),$L119=FALSE(),$M119=FALSE(),$N119=FALSE(),$O119=FALSE(),$Q119=FALSE()),"Speaker fault only - needs manual box assignment",""),IF(AND($R119=TRUE(),$L119=FALSE(),$M119=FALSE(),$N119=FALSE(),$O119=FALSE(),$P119=FALSE(),$Q119=FALSE()),"No fault detail given - needs technician inspection",""),IF(AND(COUNTIF($F$3:$F$252,$F119)&gt;1,LOWER(TRIM($F119))&lt;&gt;"empty"),"Duplicate Serial No - verify device identity",""),IF((--$L119+--$M119+--$N119+--$O119+--$P119)&gt;1,"Multiple fault types detected - review full details before repair","")))</f>
        <v/>
      </c>
      <c r="W119" s="26" t="n">
        <v>0</v>
      </c>
      <c r="X119" s="26"/>
    </row>
    <row r="120" customFormat="false" ht="15" hidden="false" customHeight="true" outlineLevel="0" collapsed="false">
      <c r="A120" s="32" t="n">
        <v>118</v>
      </c>
      <c r="B120" s="33" t="n">
        <v>46245.4809431134</v>
      </c>
      <c r="C120" s="32" t="s">
        <v>90</v>
      </c>
      <c r="D120" s="32" t="str">
        <f aca="false">IF($B120="","",IFERROR(VLOOKUP(TRIM($C120),ModelMap,2,FALSE()),TRIM($C120)))</f>
        <v>X628</v>
      </c>
      <c r="E120" s="32" t="s">
        <v>397</v>
      </c>
      <c r="F120" s="32" t="s">
        <v>398</v>
      </c>
      <c r="G120" s="32" t="s">
        <v>132</v>
      </c>
      <c r="H120" s="32"/>
      <c r="I120" s="32" t="s">
        <v>399</v>
      </c>
      <c r="J120" s="32" t="s">
        <v>129</v>
      </c>
      <c r="K120" s="32" t="str">
        <f aca="false">IF($B120="","",LOWER(TRIM($G120)&amp;" | "&amp;TRIM($H120)&amp;" | "&amp;TRIM($I120)))</f>
        <v>working |  | display is not clear</v>
      </c>
      <c r="L120" s="34" t="b">
        <f aca="false">IF($B120="","",SUMPRODUCT(--ISNUMBER(SEARCH(SensorKW,$K120)))&gt;0)</f>
        <v>0</v>
      </c>
      <c r="M120" s="34" t="b">
        <f aca="false">IF($B120="","",SUMPRODUCT(--ISNUMBER(SEARCH(DisplayKW,$K120)))&gt;0)</f>
        <v>1</v>
      </c>
      <c r="N120" s="34" t="b">
        <f aca="false">IF($B120="","",SUMPRODUCT(--ISNUMBER(SEARCH(KeypadKW,$K120)))&gt;0)</f>
        <v>0</v>
      </c>
      <c r="O120" s="34" t="b">
        <f aca="false">IF($B120="","",SUMPRODUCT(--ISNUMBER(SEARCH(PowerKW,$K120)))&gt;0)</f>
        <v>0</v>
      </c>
      <c r="P120" s="34" t="b">
        <f aca="false">IF($B120="","",SUMPRODUCT(--ISNUMBER(SEARCH(SpeakerKW,$K120)))&gt;0)</f>
        <v>0</v>
      </c>
      <c r="Q120" s="34" t="b">
        <f aca="false">IF($B120="","",OR(SUMPRODUCT(--ISNUMBER(SEARCH(EmptyKW,$K120)))&gt;0,LOWER(TRIM($F120))="empty"))</f>
        <v>0</v>
      </c>
      <c r="R120" s="34" t="b">
        <f aca="false">IF($B120="","",OR(ISNUMBER(SEARCH("repair",$G120)),ISNUMBER(SEARCH("not working",$G120))))</f>
        <v>0</v>
      </c>
      <c r="S120" s="32" t="n">
        <f aca="false">IF(AND($B120&lt;&gt;"",$M120=TRUE(),$L120=FALSE(),$Q120=FALSE()),COUNTIFS($M$3:$M120,TRUE(),$L$3:$L120,FALSE(),$Q$3:$Q120,FALSE()),"")</f>
        <v>23</v>
      </c>
      <c r="T120" s="32" t="str">
        <f aca="false">IF($B120="","",IF($Q120=TRUE(),"U1",IF($L120=TRUE(),"S1",IF($M120=TRUE(),"D"&amp;MIN(4,INT(($S120-1)/DisplayCapacity)+1),IF($N120=TRUE(),"K1",IF($O120=TRUE(),"P1",IF($P120=TRUE(),"U1",IF($R120=TRUE(),"U1","W"))))))))</f>
        <v>D4</v>
      </c>
      <c r="U120" s="32" t="str">
        <f aca="false">IF($T120="","",$T120&amp;"-"&amp;COUNTIF($T$3:T120,$T120))</f>
        <v>D4-2</v>
      </c>
      <c r="V120" s="32" t="str">
        <f aca="false">IF($B120="","",_xlfn.TEXTJOIN(" | ",TRUE(),IF($Q120=TRUE(),"Empty box - no physical device, verify status",""),IF(AND($P120=TRUE(),$L120=FALSE(),$M120=FALSE(),$N120=FALSE(),$O120=FALSE(),$Q120=FALSE()),"Speaker fault only - needs manual box assignment",""),IF(AND($R120=TRUE(),$L120=FALSE(),$M120=FALSE(),$N120=FALSE(),$O120=FALSE(),$P120=FALSE(),$Q120=FALSE()),"No fault detail given - needs technician inspection",""),IF(AND(COUNTIF($F$3:$F$252,$F120)&gt;1,LOWER(TRIM($F120))&lt;&gt;"empty"),"Duplicate Serial No - verify device identity",""),IF((--$L120+--$M120+--$N120+--$O120+--$P120)&gt;1,"Multiple fault types detected - review full details before repair","")))</f>
        <v/>
      </c>
      <c r="W120" s="32" t="n">
        <v>0</v>
      </c>
      <c r="X120" s="32"/>
    </row>
    <row r="121" customFormat="false" ht="15" hidden="false" customHeight="true" outlineLevel="0" collapsed="false">
      <c r="A121" s="26" t="n">
        <v>119</v>
      </c>
      <c r="B121" s="30" t="n">
        <v>46245.4857698727</v>
      </c>
      <c r="C121" s="26" t="s">
        <v>92</v>
      </c>
      <c r="D121" s="26" t="str">
        <f aca="false">IF($B121="","",IFERROR(VLOOKUP(TRIM($C121),ModelMap,2,FALSE()),TRIM($C121)))</f>
        <v>TX628</v>
      </c>
      <c r="E121" s="26" t="s">
        <v>400</v>
      </c>
      <c r="F121" s="26" t="s">
        <v>401</v>
      </c>
      <c r="G121" s="26" t="s">
        <v>150</v>
      </c>
      <c r="H121" s="26" t="s">
        <v>191</v>
      </c>
      <c r="I121" s="26"/>
      <c r="J121" s="26" t="s">
        <v>133</v>
      </c>
      <c r="K121" s="26" t="str">
        <f aca="false">IF($B121="","",LOWER(TRIM($G121)&amp;" | "&amp;TRIM($H121)&amp;" | "&amp;TRIM($I121)))</f>
        <v>working, have to repair | sensor is not working | </v>
      </c>
      <c r="L121" s="31" t="b">
        <f aca="false">IF($B121="","",SUMPRODUCT(--ISNUMBER(SEARCH(SensorKW,$K121)))&gt;0)</f>
        <v>1</v>
      </c>
      <c r="M121" s="31" t="b">
        <f aca="false">IF($B121="","",SUMPRODUCT(--ISNUMBER(SEARCH(DisplayKW,$K121)))&gt;0)</f>
        <v>0</v>
      </c>
      <c r="N121" s="31" t="b">
        <f aca="false">IF($B121="","",SUMPRODUCT(--ISNUMBER(SEARCH(KeypadKW,$K121)))&gt;0)</f>
        <v>0</v>
      </c>
      <c r="O121" s="31" t="b">
        <f aca="false">IF($B121="","",SUMPRODUCT(--ISNUMBER(SEARCH(PowerKW,$K121)))&gt;0)</f>
        <v>0</v>
      </c>
      <c r="P121" s="31" t="b">
        <f aca="false">IF($B121="","",SUMPRODUCT(--ISNUMBER(SEARCH(SpeakerKW,$K121)))&gt;0)</f>
        <v>0</v>
      </c>
      <c r="Q121" s="31" t="b">
        <f aca="false">IF($B121="","",OR(SUMPRODUCT(--ISNUMBER(SEARCH(EmptyKW,$K121)))&gt;0,LOWER(TRIM($F121))="empty"))</f>
        <v>0</v>
      </c>
      <c r="R121" s="31" t="b">
        <f aca="false">IF($B121="","",OR(ISNUMBER(SEARCH("repair",$G121)),ISNUMBER(SEARCH("not working",$G121))))</f>
        <v>1</v>
      </c>
      <c r="S121" s="26" t="str">
        <f aca="false">IF(AND($B121&lt;&gt;"",$M121=TRUE(),$L121=FALSE(),$Q121=FALSE()),COUNTIFS($M$3:$M121,TRUE(),$L$3:$L121,FALSE(),$Q$3:$Q121,FALSE()),"")</f>
        <v/>
      </c>
      <c r="T121" s="26" t="str">
        <f aca="false">IF($B121="","",IF($Q121=TRUE(),"U1",IF($L121=TRUE(),"S1",IF($M121=TRUE(),"D"&amp;MIN(4,INT(($S121-1)/DisplayCapacity)+1),IF($N121=TRUE(),"K1",IF($O121=TRUE(),"P1",IF($P121=TRUE(),"U1",IF($R121=TRUE(),"U1","W"))))))))</f>
        <v>S1</v>
      </c>
      <c r="U121" s="26" t="str">
        <f aca="false">IF($T121="","",$T121&amp;"-"&amp;COUNTIF($T$3:T121,$T121))</f>
        <v>S1-25</v>
      </c>
      <c r="V121" s="26" t="str">
        <f aca="false">IF($B121="","",_xlfn.TEXTJOIN(" | ",TRUE(),IF($Q121=TRUE(),"Empty box - no physical device, verify status",""),IF(AND($P121=TRUE(),$L121=FALSE(),$M121=FALSE(),$N121=FALSE(),$O121=FALSE(),$Q121=FALSE()),"Speaker fault only - needs manual box assignment",""),IF(AND($R121=TRUE(),$L121=FALSE(),$M121=FALSE(),$N121=FALSE(),$O121=FALSE(),$P121=FALSE(),$Q121=FALSE()),"No fault detail given - needs technician inspection",""),IF(AND(COUNTIF($F$3:$F$252,$F121)&gt;1,LOWER(TRIM($F121))&lt;&gt;"empty"),"Duplicate Serial No - verify device identity",""),IF((--$L121+--$M121+--$N121+--$O121+--$P121)&gt;1,"Multiple fault types detected - review full details before repair","")))</f>
        <v/>
      </c>
      <c r="W121" s="26" t="n">
        <v>0</v>
      </c>
      <c r="X121" s="26"/>
    </row>
    <row r="122" customFormat="false" ht="15" hidden="false" customHeight="true" outlineLevel="0" collapsed="false">
      <c r="A122" s="32" t="n">
        <v>120</v>
      </c>
      <c r="B122" s="33" t="n">
        <v>46245.4886903819</v>
      </c>
      <c r="C122" s="32" t="s">
        <v>90</v>
      </c>
      <c r="D122" s="32" t="str">
        <f aca="false">IF($B122="","",IFERROR(VLOOKUP(TRIM($C122),ModelMap,2,FALSE()),TRIM($C122)))</f>
        <v>X628</v>
      </c>
      <c r="E122" s="32" t="s">
        <v>402</v>
      </c>
      <c r="F122" s="32" t="s">
        <v>403</v>
      </c>
      <c r="G122" s="32" t="s">
        <v>132</v>
      </c>
      <c r="H122" s="32"/>
      <c r="I122" s="32"/>
      <c r="J122" s="32" t="s">
        <v>129</v>
      </c>
      <c r="K122" s="32" t="str">
        <f aca="false">IF($B122="","",LOWER(TRIM($G122)&amp;" | "&amp;TRIM($H122)&amp;" | "&amp;TRIM($I122)))</f>
        <v>working |  | </v>
      </c>
      <c r="L122" s="34" t="b">
        <f aca="false">IF($B122="","",SUMPRODUCT(--ISNUMBER(SEARCH(SensorKW,$K122)))&gt;0)</f>
        <v>0</v>
      </c>
      <c r="M122" s="34" t="b">
        <f aca="false">IF($B122="","",SUMPRODUCT(--ISNUMBER(SEARCH(DisplayKW,$K122)))&gt;0)</f>
        <v>0</v>
      </c>
      <c r="N122" s="34" t="b">
        <f aca="false">IF($B122="","",SUMPRODUCT(--ISNUMBER(SEARCH(KeypadKW,$K122)))&gt;0)</f>
        <v>0</v>
      </c>
      <c r="O122" s="34" t="b">
        <f aca="false">IF($B122="","",SUMPRODUCT(--ISNUMBER(SEARCH(PowerKW,$K122)))&gt;0)</f>
        <v>0</v>
      </c>
      <c r="P122" s="34" t="b">
        <f aca="false">IF($B122="","",SUMPRODUCT(--ISNUMBER(SEARCH(SpeakerKW,$K122)))&gt;0)</f>
        <v>0</v>
      </c>
      <c r="Q122" s="34" t="b">
        <f aca="false">IF($B122="","",OR(SUMPRODUCT(--ISNUMBER(SEARCH(EmptyKW,$K122)))&gt;0,LOWER(TRIM($F122))="empty"))</f>
        <v>0</v>
      </c>
      <c r="R122" s="34" t="b">
        <f aca="false">IF($B122="","",OR(ISNUMBER(SEARCH("repair",$G122)),ISNUMBER(SEARCH("not working",$G122))))</f>
        <v>0</v>
      </c>
      <c r="S122" s="32" t="str">
        <f aca="false">IF(AND($B122&lt;&gt;"",$M122=TRUE(),$L122=FALSE(),$Q122=FALSE()),COUNTIFS($M$3:$M122,TRUE(),$L$3:$L122,FALSE(),$Q$3:$Q122,FALSE()),"")</f>
        <v/>
      </c>
      <c r="T122" s="32" t="str">
        <f aca="false">IF($B122="","",IF($Q122=TRUE(),"U1",IF($L122=TRUE(),"S1",IF($M122=TRUE(),"D"&amp;MIN(4,INT(($S122-1)/DisplayCapacity)+1),IF($N122=TRUE(),"K1",IF($O122=TRUE(),"P1",IF($P122=TRUE(),"U1",IF($R122=TRUE(),"U1","W"))))))))</f>
        <v>W</v>
      </c>
      <c r="U122" s="32" t="str">
        <f aca="false">IF($T122="","",$T122&amp;"-"&amp;COUNTIF($T$3:T122,$T122))</f>
        <v>W-62</v>
      </c>
      <c r="V122" s="32" t="str">
        <f aca="false">IF($B122="","",_xlfn.TEXTJOIN(" | ",TRUE(),IF($Q122=TRUE(),"Empty box - no physical device, verify status",""),IF(AND($P122=TRUE(),$L122=FALSE(),$M122=FALSE(),$N122=FALSE(),$O122=FALSE(),$Q122=FALSE()),"Speaker fault only - needs manual box assignment",""),IF(AND($R122=TRUE(),$L122=FALSE(),$M122=FALSE(),$N122=FALSE(),$O122=FALSE(),$P122=FALSE(),$Q122=FALSE()),"No fault detail given - needs technician inspection",""),IF(AND(COUNTIF($F$3:$F$252,$F122)&gt;1,LOWER(TRIM($F122))&lt;&gt;"empty"),"Duplicate Serial No - verify device identity",""),IF((--$L122+--$M122+--$N122+--$O122+--$P122)&gt;1,"Multiple fault types detected - review full details before repair","")))</f>
        <v/>
      </c>
      <c r="W122" s="32" t="n">
        <v>0</v>
      </c>
      <c r="X122" s="32"/>
    </row>
    <row r="123" customFormat="false" ht="15" hidden="false" customHeight="true" outlineLevel="0" collapsed="false">
      <c r="A123" s="26" t="n">
        <v>121</v>
      </c>
      <c r="B123" s="30" t="n">
        <v>46245.4906862037</v>
      </c>
      <c r="C123" s="26" t="s">
        <v>90</v>
      </c>
      <c r="D123" s="26" t="str">
        <f aca="false">IF($B123="","",IFERROR(VLOOKUP(TRIM($C123),ModelMap,2,FALSE()),TRIM($C123)))</f>
        <v>X628</v>
      </c>
      <c r="E123" s="26" t="s">
        <v>404</v>
      </c>
      <c r="F123" s="26" t="s">
        <v>405</v>
      </c>
      <c r="G123" s="26" t="s">
        <v>132</v>
      </c>
      <c r="H123" s="26"/>
      <c r="I123" s="26"/>
      <c r="J123" s="26" t="s">
        <v>129</v>
      </c>
      <c r="K123" s="26" t="str">
        <f aca="false">IF($B123="","",LOWER(TRIM($G123)&amp;" | "&amp;TRIM($H123)&amp;" | "&amp;TRIM($I123)))</f>
        <v>working |  | </v>
      </c>
      <c r="L123" s="31" t="b">
        <f aca="false">IF($B123="","",SUMPRODUCT(--ISNUMBER(SEARCH(SensorKW,$K123)))&gt;0)</f>
        <v>0</v>
      </c>
      <c r="M123" s="31" t="b">
        <f aca="false">IF($B123="","",SUMPRODUCT(--ISNUMBER(SEARCH(DisplayKW,$K123)))&gt;0)</f>
        <v>0</v>
      </c>
      <c r="N123" s="31" t="b">
        <f aca="false">IF($B123="","",SUMPRODUCT(--ISNUMBER(SEARCH(KeypadKW,$K123)))&gt;0)</f>
        <v>0</v>
      </c>
      <c r="O123" s="31" t="b">
        <f aca="false">IF($B123="","",SUMPRODUCT(--ISNUMBER(SEARCH(PowerKW,$K123)))&gt;0)</f>
        <v>0</v>
      </c>
      <c r="P123" s="31" t="b">
        <f aca="false">IF($B123="","",SUMPRODUCT(--ISNUMBER(SEARCH(SpeakerKW,$K123)))&gt;0)</f>
        <v>0</v>
      </c>
      <c r="Q123" s="31" t="b">
        <f aca="false">IF($B123="","",OR(SUMPRODUCT(--ISNUMBER(SEARCH(EmptyKW,$K123)))&gt;0,LOWER(TRIM($F123))="empty"))</f>
        <v>0</v>
      </c>
      <c r="R123" s="31" t="b">
        <f aca="false">IF($B123="","",OR(ISNUMBER(SEARCH("repair",$G123)),ISNUMBER(SEARCH("not working",$G123))))</f>
        <v>0</v>
      </c>
      <c r="S123" s="26" t="str">
        <f aca="false">IF(AND($B123&lt;&gt;"",$M123=TRUE(),$L123=FALSE(),$Q123=FALSE()),COUNTIFS($M$3:$M123,TRUE(),$L$3:$L123,FALSE(),$Q$3:$Q123,FALSE()),"")</f>
        <v/>
      </c>
      <c r="T123" s="26" t="str">
        <f aca="false">IF($B123="","",IF($Q123=TRUE(),"U1",IF($L123=TRUE(),"S1",IF($M123=TRUE(),"D"&amp;MIN(4,INT(($S123-1)/DisplayCapacity)+1),IF($N123=TRUE(),"K1",IF($O123=TRUE(),"P1",IF($P123=TRUE(),"U1",IF($R123=TRUE(),"U1","W"))))))))</f>
        <v>W</v>
      </c>
      <c r="U123" s="26" t="str">
        <f aca="false">IF($T123="","",$T123&amp;"-"&amp;COUNTIF($T$3:T123,$T123))</f>
        <v>W-63</v>
      </c>
      <c r="V123" s="26" t="str">
        <f aca="false">IF($B123="","",_xlfn.TEXTJOIN(" | ",TRUE(),IF($Q123=TRUE(),"Empty box - no physical device, verify status",""),IF(AND($P123=TRUE(),$L123=FALSE(),$M123=FALSE(),$N123=FALSE(),$O123=FALSE(),$Q123=FALSE()),"Speaker fault only - needs manual box assignment",""),IF(AND($R123=TRUE(),$L123=FALSE(),$M123=FALSE(),$N123=FALSE(),$O123=FALSE(),$P123=FALSE(),$Q123=FALSE()),"No fault detail given - needs technician inspection",""),IF(AND(COUNTIF($F$3:$F$252,$F123)&gt;1,LOWER(TRIM($F123))&lt;&gt;"empty"),"Duplicate Serial No - verify device identity",""),IF((--$L123+--$M123+--$N123+--$O123+--$P123)&gt;1,"Multiple fault types detected - review full details before repair","")))</f>
        <v/>
      </c>
      <c r="W123" s="26" t="n">
        <v>0</v>
      </c>
      <c r="X123" s="26"/>
    </row>
    <row r="124" customFormat="false" ht="15" hidden="false" customHeight="true" outlineLevel="0" collapsed="false">
      <c r="A124" s="32" t="n">
        <v>122</v>
      </c>
      <c r="B124" s="33" t="n">
        <v>46245.4918415625</v>
      </c>
      <c r="C124" s="32" t="s">
        <v>93</v>
      </c>
      <c r="D124" s="32" t="str">
        <f aca="false">IF($B124="","",IFERROR(VLOOKUP(TRIM($C124),ModelMap,2,FALSE()),TRIM($C124)))</f>
        <v>X628-C</v>
      </c>
      <c r="E124" s="32" t="s">
        <v>406</v>
      </c>
      <c r="F124" s="32" t="s">
        <v>407</v>
      </c>
      <c r="G124" s="32" t="s">
        <v>132</v>
      </c>
      <c r="H124" s="32"/>
      <c r="I124" s="32"/>
      <c r="J124" s="32" t="s">
        <v>133</v>
      </c>
      <c r="K124" s="32" t="str">
        <f aca="false">IF($B124="","",LOWER(TRIM($G124)&amp;" | "&amp;TRIM($H124)&amp;" | "&amp;TRIM($I124)))</f>
        <v>working |  | </v>
      </c>
      <c r="L124" s="34" t="b">
        <f aca="false">IF($B124="","",SUMPRODUCT(--ISNUMBER(SEARCH(SensorKW,$K124)))&gt;0)</f>
        <v>0</v>
      </c>
      <c r="M124" s="34" t="b">
        <f aca="false">IF($B124="","",SUMPRODUCT(--ISNUMBER(SEARCH(DisplayKW,$K124)))&gt;0)</f>
        <v>0</v>
      </c>
      <c r="N124" s="34" t="b">
        <f aca="false">IF($B124="","",SUMPRODUCT(--ISNUMBER(SEARCH(KeypadKW,$K124)))&gt;0)</f>
        <v>0</v>
      </c>
      <c r="O124" s="34" t="b">
        <f aca="false">IF($B124="","",SUMPRODUCT(--ISNUMBER(SEARCH(PowerKW,$K124)))&gt;0)</f>
        <v>0</v>
      </c>
      <c r="P124" s="34" t="b">
        <f aca="false">IF($B124="","",SUMPRODUCT(--ISNUMBER(SEARCH(SpeakerKW,$K124)))&gt;0)</f>
        <v>0</v>
      </c>
      <c r="Q124" s="34" t="b">
        <f aca="false">IF($B124="","",OR(SUMPRODUCT(--ISNUMBER(SEARCH(EmptyKW,$K124)))&gt;0,LOWER(TRIM($F124))="empty"))</f>
        <v>0</v>
      </c>
      <c r="R124" s="34" t="b">
        <f aca="false">IF($B124="","",OR(ISNUMBER(SEARCH("repair",$G124)),ISNUMBER(SEARCH("not working",$G124))))</f>
        <v>0</v>
      </c>
      <c r="S124" s="32" t="str">
        <f aca="false">IF(AND($B124&lt;&gt;"",$M124=TRUE(),$L124=FALSE(),$Q124=FALSE()),COUNTIFS($M$3:$M124,TRUE(),$L$3:$L124,FALSE(),$Q$3:$Q124,FALSE()),"")</f>
        <v/>
      </c>
      <c r="T124" s="32" t="str">
        <f aca="false">IF($B124="","",IF($Q124=TRUE(),"U1",IF($L124=TRUE(),"S1",IF($M124=TRUE(),"D"&amp;MIN(4,INT(($S124-1)/DisplayCapacity)+1),IF($N124=TRUE(),"K1",IF($O124=TRUE(),"P1",IF($P124=TRUE(),"U1",IF($R124=TRUE(),"U1","W"))))))))</f>
        <v>W</v>
      </c>
      <c r="U124" s="32" t="str">
        <f aca="false">IF($T124="","",$T124&amp;"-"&amp;COUNTIF($T$3:T124,$T124))</f>
        <v>W-64</v>
      </c>
      <c r="V124" s="32" t="str">
        <f aca="false">IF($B124="","",_xlfn.TEXTJOIN(" | ",TRUE(),IF($Q124=TRUE(),"Empty box - no physical device, verify status",""),IF(AND($P124=TRUE(),$L124=FALSE(),$M124=FALSE(),$N124=FALSE(),$O124=FALSE(),$Q124=FALSE()),"Speaker fault only - needs manual box assignment",""),IF(AND($R124=TRUE(),$L124=FALSE(),$M124=FALSE(),$N124=FALSE(),$O124=FALSE(),$P124=FALSE(),$Q124=FALSE()),"No fault detail given - needs technician inspection",""),IF(AND(COUNTIF($F$3:$F$252,$F124)&gt;1,LOWER(TRIM($F124))&lt;&gt;"empty"),"Duplicate Serial No - verify device identity",""),IF((--$L124+--$M124+--$N124+--$O124+--$P124)&gt;1,"Multiple fault types detected - review full details before repair","")))</f>
        <v/>
      </c>
      <c r="W124" s="32" t="n">
        <v>0</v>
      </c>
      <c r="X124" s="32"/>
    </row>
    <row r="125" customFormat="false" ht="15" hidden="false" customHeight="true" outlineLevel="0" collapsed="false">
      <c r="A125" s="26" t="n">
        <v>123</v>
      </c>
      <c r="B125" s="30" t="n">
        <v>46245.4928684375</v>
      </c>
      <c r="C125" s="26" t="s">
        <v>90</v>
      </c>
      <c r="D125" s="26" t="str">
        <f aca="false">IF($B125="","",IFERROR(VLOOKUP(TRIM($C125),ModelMap,2,FALSE()),TRIM($C125)))</f>
        <v>X628</v>
      </c>
      <c r="E125" s="26" t="s">
        <v>408</v>
      </c>
      <c r="F125" s="26" t="s">
        <v>409</v>
      </c>
      <c r="G125" s="26" t="s">
        <v>132</v>
      </c>
      <c r="H125" s="26"/>
      <c r="I125" s="26"/>
      <c r="J125" s="26" t="s">
        <v>133</v>
      </c>
      <c r="K125" s="26" t="str">
        <f aca="false">IF($B125="","",LOWER(TRIM($G125)&amp;" | "&amp;TRIM($H125)&amp;" | "&amp;TRIM($I125)))</f>
        <v>working |  | </v>
      </c>
      <c r="L125" s="31" t="b">
        <f aca="false">IF($B125="","",SUMPRODUCT(--ISNUMBER(SEARCH(SensorKW,$K125)))&gt;0)</f>
        <v>0</v>
      </c>
      <c r="M125" s="31" t="b">
        <f aca="false">IF($B125="","",SUMPRODUCT(--ISNUMBER(SEARCH(DisplayKW,$K125)))&gt;0)</f>
        <v>0</v>
      </c>
      <c r="N125" s="31" t="b">
        <f aca="false">IF($B125="","",SUMPRODUCT(--ISNUMBER(SEARCH(KeypadKW,$K125)))&gt;0)</f>
        <v>0</v>
      </c>
      <c r="O125" s="31" t="b">
        <f aca="false">IF($B125="","",SUMPRODUCT(--ISNUMBER(SEARCH(PowerKW,$K125)))&gt;0)</f>
        <v>0</v>
      </c>
      <c r="P125" s="31" t="b">
        <f aca="false">IF($B125="","",SUMPRODUCT(--ISNUMBER(SEARCH(SpeakerKW,$K125)))&gt;0)</f>
        <v>0</v>
      </c>
      <c r="Q125" s="31" t="b">
        <f aca="false">IF($B125="","",OR(SUMPRODUCT(--ISNUMBER(SEARCH(EmptyKW,$K125)))&gt;0,LOWER(TRIM($F125))="empty"))</f>
        <v>0</v>
      </c>
      <c r="R125" s="31" t="b">
        <f aca="false">IF($B125="","",OR(ISNUMBER(SEARCH("repair",$G125)),ISNUMBER(SEARCH("not working",$G125))))</f>
        <v>0</v>
      </c>
      <c r="S125" s="26" t="str">
        <f aca="false">IF(AND($B125&lt;&gt;"",$M125=TRUE(),$L125=FALSE(),$Q125=FALSE()),COUNTIFS($M$3:$M125,TRUE(),$L$3:$L125,FALSE(),$Q$3:$Q125,FALSE()),"")</f>
        <v/>
      </c>
      <c r="T125" s="26" t="str">
        <f aca="false">IF($B125="","",IF($Q125=TRUE(),"U1",IF($L125=TRUE(),"S1",IF($M125=TRUE(),"D"&amp;MIN(4,INT(($S125-1)/DisplayCapacity)+1),IF($N125=TRUE(),"K1",IF($O125=TRUE(),"P1",IF($P125=TRUE(),"U1",IF($R125=TRUE(),"U1","W"))))))))</f>
        <v>W</v>
      </c>
      <c r="U125" s="26" t="str">
        <f aca="false">IF($T125="","",$T125&amp;"-"&amp;COUNTIF($T$3:T125,$T125))</f>
        <v>W-65</v>
      </c>
      <c r="V125" s="26" t="str">
        <f aca="false">IF($B125="","",_xlfn.TEXTJOIN(" | ",TRUE(),IF($Q125=TRUE(),"Empty box - no physical device, verify status",""),IF(AND($P125=TRUE(),$L125=FALSE(),$M125=FALSE(),$N125=FALSE(),$O125=FALSE(),$Q125=FALSE()),"Speaker fault only - needs manual box assignment",""),IF(AND($R125=TRUE(),$L125=FALSE(),$M125=FALSE(),$N125=FALSE(),$O125=FALSE(),$P125=FALSE(),$Q125=FALSE()),"No fault detail given - needs technician inspection",""),IF(AND(COUNTIF($F$3:$F$252,$F125)&gt;1,LOWER(TRIM($F125))&lt;&gt;"empty"),"Duplicate Serial No - verify device identity",""),IF((--$L125+--$M125+--$N125+--$O125+--$P125)&gt;1,"Multiple fault types detected - review full details before repair","")))</f>
        <v/>
      </c>
      <c r="W125" s="26" t="n">
        <v>0</v>
      </c>
      <c r="X125" s="26"/>
    </row>
    <row r="126" customFormat="false" ht="15" hidden="false" customHeight="true" outlineLevel="0" collapsed="false">
      <c r="A126" s="32" t="n">
        <v>124</v>
      </c>
      <c r="B126" s="33" t="n">
        <v>46245.4958156713</v>
      </c>
      <c r="C126" s="32" t="s">
        <v>90</v>
      </c>
      <c r="D126" s="32" t="str">
        <f aca="false">IF($B126="","",IFERROR(VLOOKUP(TRIM($C126),ModelMap,2,FALSE()),TRIM($C126)))</f>
        <v>X628</v>
      </c>
      <c r="E126" s="32" t="s">
        <v>410</v>
      </c>
      <c r="F126" s="32" t="s">
        <v>411</v>
      </c>
      <c r="G126" s="32" t="s">
        <v>132</v>
      </c>
      <c r="H126" s="32"/>
      <c r="I126" s="32"/>
      <c r="J126" s="32" t="s">
        <v>133</v>
      </c>
      <c r="K126" s="32" t="str">
        <f aca="false">IF($B126="","",LOWER(TRIM($G126)&amp;" | "&amp;TRIM($H126)&amp;" | "&amp;TRIM($I126)))</f>
        <v>working |  | </v>
      </c>
      <c r="L126" s="34" t="b">
        <f aca="false">IF($B126="","",SUMPRODUCT(--ISNUMBER(SEARCH(SensorKW,$K126)))&gt;0)</f>
        <v>0</v>
      </c>
      <c r="M126" s="34" t="b">
        <f aca="false">IF($B126="","",SUMPRODUCT(--ISNUMBER(SEARCH(DisplayKW,$K126)))&gt;0)</f>
        <v>0</v>
      </c>
      <c r="N126" s="34" t="b">
        <f aca="false">IF($B126="","",SUMPRODUCT(--ISNUMBER(SEARCH(KeypadKW,$K126)))&gt;0)</f>
        <v>0</v>
      </c>
      <c r="O126" s="34" t="b">
        <f aca="false">IF($B126="","",SUMPRODUCT(--ISNUMBER(SEARCH(PowerKW,$K126)))&gt;0)</f>
        <v>0</v>
      </c>
      <c r="P126" s="34" t="b">
        <f aca="false">IF($B126="","",SUMPRODUCT(--ISNUMBER(SEARCH(SpeakerKW,$K126)))&gt;0)</f>
        <v>0</v>
      </c>
      <c r="Q126" s="34" t="b">
        <f aca="false">IF($B126="","",OR(SUMPRODUCT(--ISNUMBER(SEARCH(EmptyKW,$K126)))&gt;0,LOWER(TRIM($F126))="empty"))</f>
        <v>0</v>
      </c>
      <c r="R126" s="34" t="b">
        <f aca="false">IF($B126="","",OR(ISNUMBER(SEARCH("repair",$G126)),ISNUMBER(SEARCH("not working",$G126))))</f>
        <v>0</v>
      </c>
      <c r="S126" s="32" t="str">
        <f aca="false">IF(AND($B126&lt;&gt;"",$M126=TRUE(),$L126=FALSE(),$Q126=FALSE()),COUNTIFS($M$3:$M126,TRUE(),$L$3:$L126,FALSE(),$Q$3:$Q126,FALSE()),"")</f>
        <v/>
      </c>
      <c r="T126" s="32" t="str">
        <f aca="false">IF($B126="","",IF($Q126=TRUE(),"U1",IF($L126=TRUE(),"S1",IF($M126=TRUE(),"D"&amp;MIN(4,INT(($S126-1)/DisplayCapacity)+1),IF($N126=TRUE(),"K1",IF($O126=TRUE(),"P1",IF($P126=TRUE(),"U1",IF($R126=TRUE(),"U1","W"))))))))</f>
        <v>W</v>
      </c>
      <c r="U126" s="32" t="str">
        <f aca="false">IF($T126="","",$T126&amp;"-"&amp;COUNTIF($T$3:T126,$T126))</f>
        <v>W-66</v>
      </c>
      <c r="V126" s="32" t="str">
        <f aca="false">IF($B126="","",_xlfn.TEXTJOIN(" | ",TRUE(),IF($Q126=TRUE(),"Empty box - no physical device, verify status",""),IF(AND($P126=TRUE(),$L126=FALSE(),$M126=FALSE(),$N126=FALSE(),$O126=FALSE(),$Q126=FALSE()),"Speaker fault only - needs manual box assignment",""),IF(AND($R126=TRUE(),$L126=FALSE(),$M126=FALSE(),$N126=FALSE(),$O126=FALSE(),$P126=FALSE(),$Q126=FALSE()),"No fault detail given - needs technician inspection",""),IF(AND(COUNTIF($F$3:$F$252,$F126)&gt;1,LOWER(TRIM($F126))&lt;&gt;"empty"),"Duplicate Serial No - verify device identity",""),IF((--$L126+--$M126+--$N126+--$O126+--$P126)&gt;1,"Multiple fault types detected - review full details before repair","")))</f>
        <v/>
      </c>
      <c r="W126" s="32" t="n">
        <v>0</v>
      </c>
      <c r="X126" s="32"/>
    </row>
    <row r="127" customFormat="false" ht="15" hidden="false" customHeight="true" outlineLevel="0" collapsed="false">
      <c r="A127" s="26" t="n">
        <v>125</v>
      </c>
      <c r="B127" s="30" t="n">
        <v>46245.4977673727</v>
      </c>
      <c r="C127" s="26" t="s">
        <v>93</v>
      </c>
      <c r="D127" s="26" t="str">
        <f aca="false">IF($B127="","",IFERROR(VLOOKUP(TRIM($C127),ModelMap,2,FALSE()),TRIM($C127)))</f>
        <v>X628-C</v>
      </c>
      <c r="E127" s="26" t="s">
        <v>412</v>
      </c>
      <c r="F127" s="26" t="s">
        <v>413</v>
      </c>
      <c r="G127" s="26" t="s">
        <v>132</v>
      </c>
      <c r="H127" s="26"/>
      <c r="I127" s="26"/>
      <c r="J127" s="26" t="s">
        <v>133</v>
      </c>
      <c r="K127" s="26" t="str">
        <f aca="false">IF($B127="","",LOWER(TRIM($G127)&amp;" | "&amp;TRIM($H127)&amp;" | "&amp;TRIM($I127)))</f>
        <v>working |  | </v>
      </c>
      <c r="L127" s="31" t="b">
        <f aca="false">IF($B127="","",SUMPRODUCT(--ISNUMBER(SEARCH(SensorKW,$K127)))&gt;0)</f>
        <v>0</v>
      </c>
      <c r="M127" s="31" t="b">
        <f aca="false">IF($B127="","",SUMPRODUCT(--ISNUMBER(SEARCH(DisplayKW,$K127)))&gt;0)</f>
        <v>0</v>
      </c>
      <c r="N127" s="31" t="b">
        <f aca="false">IF($B127="","",SUMPRODUCT(--ISNUMBER(SEARCH(KeypadKW,$K127)))&gt;0)</f>
        <v>0</v>
      </c>
      <c r="O127" s="31" t="b">
        <f aca="false">IF($B127="","",SUMPRODUCT(--ISNUMBER(SEARCH(PowerKW,$K127)))&gt;0)</f>
        <v>0</v>
      </c>
      <c r="P127" s="31" t="b">
        <f aca="false">IF($B127="","",SUMPRODUCT(--ISNUMBER(SEARCH(SpeakerKW,$K127)))&gt;0)</f>
        <v>0</v>
      </c>
      <c r="Q127" s="31" t="b">
        <f aca="false">IF($B127="","",OR(SUMPRODUCT(--ISNUMBER(SEARCH(EmptyKW,$K127)))&gt;0,LOWER(TRIM($F127))="empty"))</f>
        <v>0</v>
      </c>
      <c r="R127" s="31" t="b">
        <f aca="false">IF($B127="","",OR(ISNUMBER(SEARCH("repair",$G127)),ISNUMBER(SEARCH("not working",$G127))))</f>
        <v>0</v>
      </c>
      <c r="S127" s="26" t="str">
        <f aca="false">IF(AND($B127&lt;&gt;"",$M127=TRUE(),$L127=FALSE(),$Q127=FALSE()),COUNTIFS($M$3:$M127,TRUE(),$L$3:$L127,FALSE(),$Q$3:$Q127,FALSE()),"")</f>
        <v/>
      </c>
      <c r="T127" s="26" t="str">
        <f aca="false">IF($B127="","",IF($Q127=TRUE(),"U1",IF($L127=TRUE(),"S1",IF($M127=TRUE(),"D"&amp;MIN(4,INT(($S127-1)/DisplayCapacity)+1),IF($N127=TRUE(),"K1",IF($O127=TRUE(),"P1",IF($P127=TRUE(),"U1",IF($R127=TRUE(),"U1","W"))))))))</f>
        <v>W</v>
      </c>
      <c r="U127" s="26" t="str">
        <f aca="false">IF($T127="","",$T127&amp;"-"&amp;COUNTIF($T$3:T127,$T127))</f>
        <v>W-67</v>
      </c>
      <c r="V127" s="26" t="str">
        <f aca="false">IF($B127="","",_xlfn.TEXTJOIN(" | ",TRUE(),IF($Q127=TRUE(),"Empty box - no physical device, verify status",""),IF(AND($P127=TRUE(),$L127=FALSE(),$M127=FALSE(),$N127=FALSE(),$O127=FALSE(),$Q127=FALSE()),"Speaker fault only - needs manual box assignment",""),IF(AND($R127=TRUE(),$L127=FALSE(),$M127=FALSE(),$N127=FALSE(),$O127=FALSE(),$P127=FALSE(),$Q127=FALSE()),"No fault detail given - needs technician inspection",""),IF(AND(COUNTIF($F$3:$F$252,$F127)&gt;1,LOWER(TRIM($F127))&lt;&gt;"empty"),"Duplicate Serial No - verify device identity",""),IF((--$L127+--$M127+--$N127+--$O127+--$P127)&gt;1,"Multiple fault types detected - review full details before repair","")))</f>
        <v/>
      </c>
      <c r="W127" s="26" t="n">
        <v>0</v>
      </c>
      <c r="X127" s="26"/>
    </row>
    <row r="128" customFormat="false" ht="15" hidden="false" customHeight="true" outlineLevel="0" collapsed="false">
      <c r="A128" s="32" t="n">
        <v>126</v>
      </c>
      <c r="B128" s="33" t="n">
        <v>46245.5012412153</v>
      </c>
      <c r="C128" s="32" t="s">
        <v>92</v>
      </c>
      <c r="D128" s="32" t="str">
        <f aca="false">IF($B128="","",IFERROR(VLOOKUP(TRIM($C128),ModelMap,2,FALSE()),TRIM($C128)))</f>
        <v>TX628</v>
      </c>
      <c r="E128" s="32" t="s">
        <v>414</v>
      </c>
      <c r="F128" s="32" t="s">
        <v>415</v>
      </c>
      <c r="G128" s="32" t="s">
        <v>132</v>
      </c>
      <c r="H128" s="32"/>
      <c r="I128" s="32" t="s">
        <v>416</v>
      </c>
      <c r="J128" s="32" t="s">
        <v>133</v>
      </c>
      <c r="K128" s="32" t="str">
        <f aca="false">IF($B128="","",LOWER(TRIM($G128)&amp;" | "&amp;TRIM($H128)&amp;" | "&amp;TRIM($I128)))</f>
        <v>working |  | sampath bank stock</v>
      </c>
      <c r="L128" s="34" t="b">
        <f aca="false">IF($B128="","",SUMPRODUCT(--ISNUMBER(SEARCH(SensorKW,$K128)))&gt;0)</f>
        <v>0</v>
      </c>
      <c r="M128" s="34" t="b">
        <f aca="false">IF($B128="","",SUMPRODUCT(--ISNUMBER(SEARCH(DisplayKW,$K128)))&gt;0)</f>
        <v>0</v>
      </c>
      <c r="N128" s="34" t="b">
        <f aca="false">IF($B128="","",SUMPRODUCT(--ISNUMBER(SEARCH(KeypadKW,$K128)))&gt;0)</f>
        <v>0</v>
      </c>
      <c r="O128" s="34" t="b">
        <f aca="false">IF($B128="","",SUMPRODUCT(--ISNUMBER(SEARCH(PowerKW,$K128)))&gt;0)</f>
        <v>0</v>
      </c>
      <c r="P128" s="34" t="b">
        <f aca="false">IF($B128="","",SUMPRODUCT(--ISNUMBER(SEARCH(SpeakerKW,$K128)))&gt;0)</f>
        <v>0</v>
      </c>
      <c r="Q128" s="34" t="b">
        <f aca="false">IF($B128="","",OR(SUMPRODUCT(--ISNUMBER(SEARCH(EmptyKW,$K128)))&gt;0,LOWER(TRIM($F128))="empty"))</f>
        <v>0</v>
      </c>
      <c r="R128" s="34" t="b">
        <f aca="false">IF($B128="","",OR(ISNUMBER(SEARCH("repair",$G128)),ISNUMBER(SEARCH("not working",$G128))))</f>
        <v>0</v>
      </c>
      <c r="S128" s="32" t="str">
        <f aca="false">IF(AND($B128&lt;&gt;"",$M128=TRUE(),$L128=FALSE(),$Q128=FALSE()),COUNTIFS($M$3:$M128,TRUE(),$L$3:$L128,FALSE(),$Q$3:$Q128,FALSE()),"")</f>
        <v/>
      </c>
      <c r="T128" s="32" t="str">
        <f aca="false">IF($B128="","",IF($Q128=TRUE(),"U1",IF($L128=TRUE(),"S1",IF($M128=TRUE(),"D"&amp;MIN(4,INT(($S128-1)/DisplayCapacity)+1),IF($N128=TRUE(),"K1",IF($O128=TRUE(),"P1",IF($P128=TRUE(),"U1",IF($R128=TRUE(),"U1","W"))))))))</f>
        <v>W</v>
      </c>
      <c r="U128" s="32" t="str">
        <f aca="false">IF($T128="","",$T128&amp;"-"&amp;COUNTIF($T$3:T128,$T128))</f>
        <v>W-68</v>
      </c>
      <c r="V128" s="32" t="str">
        <f aca="false">IF($B128="","",_xlfn.TEXTJOIN(" | ",TRUE(),IF($Q128=TRUE(),"Empty box - no physical device, verify status",""),IF(AND($P128=TRUE(),$L128=FALSE(),$M128=FALSE(),$N128=FALSE(),$O128=FALSE(),$Q128=FALSE()),"Speaker fault only - needs manual box assignment",""),IF(AND($R128=TRUE(),$L128=FALSE(),$M128=FALSE(),$N128=FALSE(),$O128=FALSE(),$P128=FALSE(),$Q128=FALSE()),"No fault detail given - needs technician inspection",""),IF(AND(COUNTIF($F$3:$F$252,$F128)&gt;1,LOWER(TRIM($F128))&lt;&gt;"empty"),"Duplicate Serial No - verify device identity",""),IF((--$L128+--$M128+--$N128+--$O128+--$P128)&gt;1,"Multiple fault types detected - review full details before repair","")))</f>
        <v/>
      </c>
      <c r="W128" s="32" t="n">
        <v>0</v>
      </c>
      <c r="X128" s="32"/>
    </row>
    <row r="129" customFormat="false" ht="15" hidden="false" customHeight="true" outlineLevel="0" collapsed="false">
      <c r="A129" s="26" t="n">
        <v>127</v>
      </c>
      <c r="B129" s="30" t="n">
        <v>46245.5063969676</v>
      </c>
      <c r="C129" s="26" t="s">
        <v>93</v>
      </c>
      <c r="D129" s="26" t="str">
        <f aca="false">IF($B129="","",IFERROR(VLOOKUP(TRIM($C129),ModelMap,2,FALSE()),TRIM($C129)))</f>
        <v>X628-C</v>
      </c>
      <c r="E129" s="26" t="s">
        <v>417</v>
      </c>
      <c r="F129" s="26" t="s">
        <v>418</v>
      </c>
      <c r="G129" s="26" t="s">
        <v>132</v>
      </c>
      <c r="H129" s="26"/>
      <c r="I129" s="26"/>
      <c r="J129" s="26" t="s">
        <v>133</v>
      </c>
      <c r="K129" s="26" t="str">
        <f aca="false">IF($B129="","",LOWER(TRIM($G129)&amp;" | "&amp;TRIM($H129)&amp;" | "&amp;TRIM($I129)))</f>
        <v>working |  | </v>
      </c>
      <c r="L129" s="31" t="b">
        <f aca="false">IF($B129="","",SUMPRODUCT(--ISNUMBER(SEARCH(SensorKW,$K129)))&gt;0)</f>
        <v>0</v>
      </c>
      <c r="M129" s="31" t="b">
        <f aca="false">IF($B129="","",SUMPRODUCT(--ISNUMBER(SEARCH(DisplayKW,$K129)))&gt;0)</f>
        <v>0</v>
      </c>
      <c r="N129" s="31" t="b">
        <f aca="false">IF($B129="","",SUMPRODUCT(--ISNUMBER(SEARCH(KeypadKW,$K129)))&gt;0)</f>
        <v>0</v>
      </c>
      <c r="O129" s="31" t="b">
        <f aca="false">IF($B129="","",SUMPRODUCT(--ISNUMBER(SEARCH(PowerKW,$K129)))&gt;0)</f>
        <v>0</v>
      </c>
      <c r="P129" s="31" t="b">
        <f aca="false">IF($B129="","",SUMPRODUCT(--ISNUMBER(SEARCH(SpeakerKW,$K129)))&gt;0)</f>
        <v>0</v>
      </c>
      <c r="Q129" s="31" t="b">
        <f aca="false">IF($B129="","",OR(SUMPRODUCT(--ISNUMBER(SEARCH(EmptyKW,$K129)))&gt;0,LOWER(TRIM($F129))="empty"))</f>
        <v>0</v>
      </c>
      <c r="R129" s="31" t="b">
        <f aca="false">IF($B129="","",OR(ISNUMBER(SEARCH("repair",$G129)),ISNUMBER(SEARCH("not working",$G129))))</f>
        <v>0</v>
      </c>
      <c r="S129" s="26" t="str">
        <f aca="false">IF(AND($B129&lt;&gt;"",$M129=TRUE(),$L129=FALSE(),$Q129=FALSE()),COUNTIFS($M$3:$M129,TRUE(),$L$3:$L129,FALSE(),$Q$3:$Q129,FALSE()),"")</f>
        <v/>
      </c>
      <c r="T129" s="26" t="str">
        <f aca="false">IF($B129="","",IF($Q129=TRUE(),"U1",IF($L129=TRUE(),"S1",IF($M129=TRUE(),"D"&amp;MIN(4,INT(($S129-1)/DisplayCapacity)+1),IF($N129=TRUE(),"K1",IF($O129=TRUE(),"P1",IF($P129=TRUE(),"U1",IF($R129=TRUE(),"U1","W"))))))))</f>
        <v>W</v>
      </c>
      <c r="U129" s="26" t="str">
        <f aca="false">IF($T129="","",$T129&amp;"-"&amp;COUNTIF($T$3:T129,$T129))</f>
        <v>W-69</v>
      </c>
      <c r="V129" s="26" t="str">
        <f aca="false">IF($B129="","",_xlfn.TEXTJOIN(" | ",TRUE(),IF($Q129=TRUE(),"Empty box - no physical device, verify status",""),IF(AND($P129=TRUE(),$L129=FALSE(),$M129=FALSE(),$N129=FALSE(),$O129=FALSE(),$Q129=FALSE()),"Speaker fault only - needs manual box assignment",""),IF(AND($R129=TRUE(),$L129=FALSE(),$M129=FALSE(),$N129=FALSE(),$O129=FALSE(),$P129=FALSE(),$Q129=FALSE()),"No fault detail given - needs technician inspection",""),IF(AND(COUNTIF($F$3:$F$252,$F129)&gt;1,LOWER(TRIM($F129))&lt;&gt;"empty"),"Duplicate Serial No - verify device identity",""),IF((--$L129+--$M129+--$N129+--$O129+--$P129)&gt;1,"Multiple fault types detected - review full details before repair","")))</f>
        <v/>
      </c>
      <c r="W129" s="26" t="n">
        <v>0</v>
      </c>
      <c r="X129" s="26"/>
    </row>
    <row r="130" customFormat="false" ht="15" hidden="false" customHeight="true" outlineLevel="0" collapsed="false">
      <c r="A130" s="32" t="n">
        <v>128</v>
      </c>
      <c r="B130" s="33" t="n">
        <v>46245.5072137616</v>
      </c>
      <c r="C130" s="32" t="s">
        <v>92</v>
      </c>
      <c r="D130" s="32" t="str">
        <f aca="false">IF($B130="","",IFERROR(VLOOKUP(TRIM($C130),ModelMap,2,FALSE()),TRIM($C130)))</f>
        <v>TX628</v>
      </c>
      <c r="E130" s="32" t="s">
        <v>419</v>
      </c>
      <c r="F130" s="32" t="s">
        <v>420</v>
      </c>
      <c r="G130" s="32" t="s">
        <v>132</v>
      </c>
      <c r="H130" s="32"/>
      <c r="I130" s="32" t="s">
        <v>416</v>
      </c>
      <c r="J130" s="32" t="s">
        <v>133</v>
      </c>
      <c r="K130" s="32" t="str">
        <f aca="false">IF($B130="","",LOWER(TRIM($G130)&amp;" | "&amp;TRIM($H130)&amp;" | "&amp;TRIM($I130)))</f>
        <v>working |  | sampath bank stock</v>
      </c>
      <c r="L130" s="34" t="b">
        <f aca="false">IF($B130="","",SUMPRODUCT(--ISNUMBER(SEARCH(SensorKW,$K130)))&gt;0)</f>
        <v>0</v>
      </c>
      <c r="M130" s="34" t="b">
        <f aca="false">IF($B130="","",SUMPRODUCT(--ISNUMBER(SEARCH(DisplayKW,$K130)))&gt;0)</f>
        <v>0</v>
      </c>
      <c r="N130" s="34" t="b">
        <f aca="false">IF($B130="","",SUMPRODUCT(--ISNUMBER(SEARCH(KeypadKW,$K130)))&gt;0)</f>
        <v>0</v>
      </c>
      <c r="O130" s="34" t="b">
        <f aca="false">IF($B130="","",SUMPRODUCT(--ISNUMBER(SEARCH(PowerKW,$K130)))&gt;0)</f>
        <v>0</v>
      </c>
      <c r="P130" s="34" t="b">
        <f aca="false">IF($B130="","",SUMPRODUCT(--ISNUMBER(SEARCH(SpeakerKW,$K130)))&gt;0)</f>
        <v>0</v>
      </c>
      <c r="Q130" s="34" t="b">
        <f aca="false">IF($B130="","",OR(SUMPRODUCT(--ISNUMBER(SEARCH(EmptyKW,$K130)))&gt;0,LOWER(TRIM($F130))="empty"))</f>
        <v>0</v>
      </c>
      <c r="R130" s="34" t="b">
        <f aca="false">IF($B130="","",OR(ISNUMBER(SEARCH("repair",$G130)),ISNUMBER(SEARCH("not working",$G130))))</f>
        <v>0</v>
      </c>
      <c r="S130" s="32" t="str">
        <f aca="false">IF(AND($B130&lt;&gt;"",$M130=TRUE(),$L130=FALSE(),$Q130=FALSE()),COUNTIFS($M$3:$M130,TRUE(),$L$3:$L130,FALSE(),$Q$3:$Q130,FALSE()),"")</f>
        <v/>
      </c>
      <c r="T130" s="32" t="str">
        <f aca="false">IF($B130="","",IF($Q130=TRUE(),"U1",IF($L130=TRUE(),"S1",IF($M130=TRUE(),"D"&amp;MIN(4,INT(($S130-1)/DisplayCapacity)+1),IF($N130=TRUE(),"K1",IF($O130=TRUE(),"P1",IF($P130=TRUE(),"U1",IF($R130=TRUE(),"U1","W"))))))))</f>
        <v>W</v>
      </c>
      <c r="U130" s="32" t="str">
        <f aca="false">IF($T130="","",$T130&amp;"-"&amp;COUNTIF($T$3:T130,$T130))</f>
        <v>W-70</v>
      </c>
      <c r="V130" s="32" t="str">
        <f aca="false">IF($B130="","",_xlfn.TEXTJOIN(" | ",TRUE(),IF($Q130=TRUE(),"Empty box - no physical device, verify status",""),IF(AND($P130=TRUE(),$L130=FALSE(),$M130=FALSE(),$N130=FALSE(),$O130=FALSE(),$Q130=FALSE()),"Speaker fault only - needs manual box assignment",""),IF(AND($R130=TRUE(),$L130=FALSE(),$M130=FALSE(),$N130=FALSE(),$O130=FALSE(),$P130=FALSE(),$Q130=FALSE()),"No fault detail given - needs technician inspection",""),IF(AND(COUNTIF($F$3:$F$252,$F130)&gt;1,LOWER(TRIM($F130))&lt;&gt;"empty"),"Duplicate Serial No - verify device identity",""),IF((--$L130+--$M130+--$N130+--$O130+--$P130)&gt;1,"Multiple fault types detected - review full details before repair","")))</f>
        <v/>
      </c>
      <c r="W130" s="32" t="n">
        <v>0</v>
      </c>
      <c r="X130" s="32"/>
    </row>
    <row r="131" customFormat="false" ht="15" hidden="false" customHeight="true" outlineLevel="0" collapsed="false">
      <c r="A131" s="26" t="n">
        <v>129</v>
      </c>
      <c r="B131" s="30" t="n">
        <v>46245.5115307639</v>
      </c>
      <c r="C131" s="26" t="s">
        <v>90</v>
      </c>
      <c r="D131" s="26" t="str">
        <f aca="false">IF($B131="","",IFERROR(VLOOKUP(TRIM($C131),ModelMap,2,FALSE()),TRIM($C131)))</f>
        <v>X628</v>
      </c>
      <c r="E131" s="26" t="s">
        <v>421</v>
      </c>
      <c r="F131" s="26" t="s">
        <v>422</v>
      </c>
      <c r="G131" s="26" t="s">
        <v>371</v>
      </c>
      <c r="H131" s="26" t="s">
        <v>423</v>
      </c>
      <c r="I131" s="26"/>
      <c r="J131" s="26" t="s">
        <v>129</v>
      </c>
      <c r="K131" s="26" t="str">
        <f aca="false">IF($B131="","",LOWER(TRIM($G131)&amp;" | "&amp;TRIM($H131)&amp;" | "&amp;TRIM($I131)))</f>
        <v>not working | display is not working | </v>
      </c>
      <c r="L131" s="31" t="b">
        <f aca="false">IF($B131="","",SUMPRODUCT(--ISNUMBER(SEARCH(SensorKW,$K131)))&gt;0)</f>
        <v>0</v>
      </c>
      <c r="M131" s="31" t="b">
        <f aca="false">IF($B131="","",SUMPRODUCT(--ISNUMBER(SEARCH(DisplayKW,$K131)))&gt;0)</f>
        <v>1</v>
      </c>
      <c r="N131" s="31" t="b">
        <f aca="false">IF($B131="","",SUMPRODUCT(--ISNUMBER(SEARCH(KeypadKW,$K131)))&gt;0)</f>
        <v>0</v>
      </c>
      <c r="O131" s="31" t="b">
        <f aca="false">IF($B131="","",SUMPRODUCT(--ISNUMBER(SEARCH(PowerKW,$K131)))&gt;0)</f>
        <v>0</v>
      </c>
      <c r="P131" s="31" t="b">
        <f aca="false">IF($B131="","",SUMPRODUCT(--ISNUMBER(SEARCH(SpeakerKW,$K131)))&gt;0)</f>
        <v>0</v>
      </c>
      <c r="Q131" s="31" t="b">
        <f aca="false">IF($B131="","",OR(SUMPRODUCT(--ISNUMBER(SEARCH(EmptyKW,$K131)))&gt;0,LOWER(TRIM($F131))="empty"))</f>
        <v>0</v>
      </c>
      <c r="R131" s="31" t="b">
        <f aca="false">IF($B131="","",OR(ISNUMBER(SEARCH("repair",$G131)),ISNUMBER(SEARCH("not working",$G131))))</f>
        <v>1</v>
      </c>
      <c r="S131" s="26" t="n">
        <f aca="false">IF(AND($B131&lt;&gt;"",$M131=TRUE(),$L131=FALSE(),$Q131=FALSE()),COUNTIFS($M$3:$M131,TRUE(),$L$3:$L131,FALSE(),$Q$3:$Q131,FALSE()),"")</f>
        <v>24</v>
      </c>
      <c r="T131" s="26" t="str">
        <f aca="false">IF($B131="","",IF($Q131=TRUE(),"U1",IF($L131=TRUE(),"S1",IF($M131=TRUE(),"D"&amp;MIN(4,INT(($S131-1)/DisplayCapacity)+1),IF($N131=TRUE(),"K1",IF($O131=TRUE(),"P1",IF($P131=TRUE(),"U1",IF($R131=TRUE(),"U1","W"))))))))</f>
        <v>D4</v>
      </c>
      <c r="U131" s="26" t="str">
        <f aca="false">IF($T131="","",$T131&amp;"-"&amp;COUNTIF($T$3:T131,$T131))</f>
        <v>D4-3</v>
      </c>
      <c r="V131" s="26" t="str">
        <f aca="false">IF($B131="","",_xlfn.TEXTJOIN(" | ",TRUE(),IF($Q131=TRUE(),"Empty box - no physical device, verify status",""),IF(AND($P131=TRUE(),$L131=FALSE(),$M131=FALSE(),$N131=FALSE(),$O131=FALSE(),$Q131=FALSE()),"Speaker fault only - needs manual box assignment",""),IF(AND($R131=TRUE(),$L131=FALSE(),$M131=FALSE(),$N131=FALSE(),$O131=FALSE(),$P131=FALSE(),$Q131=FALSE()),"No fault detail given - needs technician inspection",""),IF(AND(COUNTIF($F$3:$F$252,$F131)&gt;1,LOWER(TRIM($F131))&lt;&gt;"empty"),"Duplicate Serial No - verify device identity",""),IF((--$L131+--$M131+--$N131+--$O131+--$P131)&gt;1,"Multiple fault types detected - review full details before repair","")))</f>
        <v/>
      </c>
      <c r="W131" s="26" t="n">
        <v>0</v>
      </c>
      <c r="X131" s="26"/>
    </row>
    <row r="132" customFormat="false" ht="15" hidden="false" customHeight="true" outlineLevel="0" collapsed="false">
      <c r="A132" s="32" t="n">
        <v>130</v>
      </c>
      <c r="B132" s="33" t="n">
        <v>46245.5125283218</v>
      </c>
      <c r="C132" s="32" t="s">
        <v>92</v>
      </c>
      <c r="D132" s="32" t="str">
        <f aca="false">IF($B132="","",IFERROR(VLOOKUP(TRIM($C132),ModelMap,2,FALSE()),TRIM($C132)))</f>
        <v>TX628</v>
      </c>
      <c r="E132" s="32" t="s">
        <v>424</v>
      </c>
      <c r="F132" s="32" t="s">
        <v>425</v>
      </c>
      <c r="G132" s="32" t="s">
        <v>132</v>
      </c>
      <c r="H132" s="32"/>
      <c r="I132" s="32" t="s">
        <v>416</v>
      </c>
      <c r="J132" s="32" t="s">
        <v>133</v>
      </c>
      <c r="K132" s="32" t="str">
        <f aca="false">IF($B132="","",LOWER(TRIM($G132)&amp;" | "&amp;TRIM($H132)&amp;" | "&amp;TRIM($I132)))</f>
        <v>working |  | sampath bank stock</v>
      </c>
      <c r="L132" s="34" t="b">
        <f aca="false">IF($B132="","",SUMPRODUCT(--ISNUMBER(SEARCH(SensorKW,$K132)))&gt;0)</f>
        <v>0</v>
      </c>
      <c r="M132" s="34" t="b">
        <f aca="false">IF($B132="","",SUMPRODUCT(--ISNUMBER(SEARCH(DisplayKW,$K132)))&gt;0)</f>
        <v>0</v>
      </c>
      <c r="N132" s="34" t="b">
        <f aca="false">IF($B132="","",SUMPRODUCT(--ISNUMBER(SEARCH(KeypadKW,$K132)))&gt;0)</f>
        <v>0</v>
      </c>
      <c r="O132" s="34" t="b">
        <f aca="false">IF($B132="","",SUMPRODUCT(--ISNUMBER(SEARCH(PowerKW,$K132)))&gt;0)</f>
        <v>0</v>
      </c>
      <c r="P132" s="34" t="b">
        <f aca="false">IF($B132="","",SUMPRODUCT(--ISNUMBER(SEARCH(SpeakerKW,$K132)))&gt;0)</f>
        <v>0</v>
      </c>
      <c r="Q132" s="34" t="b">
        <f aca="false">IF($B132="","",OR(SUMPRODUCT(--ISNUMBER(SEARCH(EmptyKW,$K132)))&gt;0,LOWER(TRIM($F132))="empty"))</f>
        <v>0</v>
      </c>
      <c r="R132" s="34" t="b">
        <f aca="false">IF($B132="","",OR(ISNUMBER(SEARCH("repair",$G132)),ISNUMBER(SEARCH("not working",$G132))))</f>
        <v>0</v>
      </c>
      <c r="S132" s="32" t="str">
        <f aca="false">IF(AND($B132&lt;&gt;"",$M132=TRUE(),$L132=FALSE(),$Q132=FALSE()),COUNTIFS($M$3:$M132,TRUE(),$L$3:$L132,FALSE(),$Q$3:$Q132,FALSE()),"")</f>
        <v/>
      </c>
      <c r="T132" s="32" t="str">
        <f aca="false">IF($B132="","",IF($Q132=TRUE(),"U1",IF($L132=TRUE(),"S1",IF($M132=TRUE(),"D"&amp;MIN(4,INT(($S132-1)/DisplayCapacity)+1),IF($N132=TRUE(),"K1",IF($O132=TRUE(),"P1",IF($P132=TRUE(),"U1",IF($R132=TRUE(),"U1","W"))))))))</f>
        <v>W</v>
      </c>
      <c r="U132" s="32" t="str">
        <f aca="false">IF($T132="","",$T132&amp;"-"&amp;COUNTIF($T$3:T132,$T132))</f>
        <v>W-71</v>
      </c>
      <c r="V132" s="32" t="str">
        <f aca="false">IF($B132="","",_xlfn.TEXTJOIN(" | ",TRUE(),IF($Q132=TRUE(),"Empty box - no physical device, verify status",""),IF(AND($P132=TRUE(),$L132=FALSE(),$M132=FALSE(),$N132=FALSE(),$O132=FALSE(),$Q132=FALSE()),"Speaker fault only - needs manual box assignment",""),IF(AND($R132=TRUE(),$L132=FALSE(),$M132=FALSE(),$N132=FALSE(),$O132=FALSE(),$P132=FALSE(),$Q132=FALSE()),"No fault detail given - needs technician inspection",""),IF(AND(COUNTIF($F$3:$F$252,$F132)&gt;1,LOWER(TRIM($F132))&lt;&gt;"empty"),"Duplicate Serial No - verify device identity",""),IF((--$L132+--$M132+--$N132+--$O132+--$P132)&gt;1,"Multiple fault types detected - review full details before repair","")))</f>
        <v/>
      </c>
      <c r="W132" s="32" t="n">
        <v>0</v>
      </c>
      <c r="X132" s="32"/>
    </row>
    <row r="133" customFormat="false" ht="15" hidden="false" customHeight="true" outlineLevel="0" collapsed="false">
      <c r="A133" s="26" t="n">
        <v>131</v>
      </c>
      <c r="B133" s="30" t="n">
        <v>46245.5146136111</v>
      </c>
      <c r="C133" s="26" t="s">
        <v>92</v>
      </c>
      <c r="D133" s="26" t="str">
        <f aca="false">IF($B133="","",IFERROR(VLOOKUP(TRIM($C133),ModelMap,2,FALSE()),TRIM($C133)))</f>
        <v>TX628</v>
      </c>
      <c r="E133" s="26" t="s">
        <v>426</v>
      </c>
      <c r="F133" s="26" t="s">
        <v>427</v>
      </c>
      <c r="G133" s="26" t="s">
        <v>132</v>
      </c>
      <c r="H133" s="26"/>
      <c r="I133" s="26" t="s">
        <v>416</v>
      </c>
      <c r="J133" s="26" t="s">
        <v>133</v>
      </c>
      <c r="K133" s="26" t="str">
        <f aca="false">IF($B133="","",LOWER(TRIM($G133)&amp;" | "&amp;TRIM($H133)&amp;" | "&amp;TRIM($I133)))</f>
        <v>working |  | sampath bank stock</v>
      </c>
      <c r="L133" s="31" t="b">
        <f aca="false">IF($B133="","",SUMPRODUCT(--ISNUMBER(SEARCH(SensorKW,$K133)))&gt;0)</f>
        <v>0</v>
      </c>
      <c r="M133" s="31" t="b">
        <f aca="false">IF($B133="","",SUMPRODUCT(--ISNUMBER(SEARCH(DisplayKW,$K133)))&gt;0)</f>
        <v>0</v>
      </c>
      <c r="N133" s="31" t="b">
        <f aca="false">IF($B133="","",SUMPRODUCT(--ISNUMBER(SEARCH(KeypadKW,$K133)))&gt;0)</f>
        <v>0</v>
      </c>
      <c r="O133" s="31" t="b">
        <f aca="false">IF($B133="","",SUMPRODUCT(--ISNUMBER(SEARCH(PowerKW,$K133)))&gt;0)</f>
        <v>0</v>
      </c>
      <c r="P133" s="31" t="b">
        <f aca="false">IF($B133="","",SUMPRODUCT(--ISNUMBER(SEARCH(SpeakerKW,$K133)))&gt;0)</f>
        <v>0</v>
      </c>
      <c r="Q133" s="31" t="b">
        <f aca="false">IF($B133="","",OR(SUMPRODUCT(--ISNUMBER(SEARCH(EmptyKW,$K133)))&gt;0,LOWER(TRIM($F133))="empty"))</f>
        <v>0</v>
      </c>
      <c r="R133" s="31" t="b">
        <f aca="false">IF($B133="","",OR(ISNUMBER(SEARCH("repair",$G133)),ISNUMBER(SEARCH("not working",$G133))))</f>
        <v>0</v>
      </c>
      <c r="S133" s="26" t="str">
        <f aca="false">IF(AND($B133&lt;&gt;"",$M133=TRUE(),$L133=FALSE(),$Q133=FALSE()),COUNTIFS($M$3:$M133,TRUE(),$L$3:$L133,FALSE(),$Q$3:$Q133,FALSE()),"")</f>
        <v/>
      </c>
      <c r="T133" s="26" t="str">
        <f aca="false">IF($B133="","",IF($Q133=TRUE(),"U1",IF($L133=TRUE(),"S1",IF($M133=TRUE(),"D"&amp;MIN(4,INT(($S133-1)/DisplayCapacity)+1),IF($N133=TRUE(),"K1",IF($O133=TRUE(),"P1",IF($P133=TRUE(),"U1",IF($R133=TRUE(),"U1","W"))))))))</f>
        <v>W</v>
      </c>
      <c r="U133" s="26" t="str">
        <f aca="false">IF($T133="","",$T133&amp;"-"&amp;COUNTIF($T$3:T133,$T133))</f>
        <v>W-72</v>
      </c>
      <c r="V133" s="26" t="str">
        <f aca="false">IF($B133="","",_xlfn.TEXTJOIN(" | ",TRUE(),IF($Q133=TRUE(),"Empty box - no physical device, verify status",""),IF(AND($P133=TRUE(),$L133=FALSE(),$M133=FALSE(),$N133=FALSE(),$O133=FALSE(),$Q133=FALSE()),"Speaker fault only - needs manual box assignment",""),IF(AND($R133=TRUE(),$L133=FALSE(),$M133=FALSE(),$N133=FALSE(),$O133=FALSE(),$P133=FALSE(),$Q133=FALSE()),"No fault detail given - needs technician inspection",""),IF(AND(COUNTIF($F$3:$F$252,$F133)&gt;1,LOWER(TRIM($F133))&lt;&gt;"empty"),"Duplicate Serial No - verify device identity",""),IF((--$L133+--$M133+--$N133+--$O133+--$P133)&gt;1,"Multiple fault types detected - review full details before repair","")))</f>
        <v/>
      </c>
      <c r="W133" s="26" t="n">
        <v>0</v>
      </c>
      <c r="X133" s="26"/>
    </row>
    <row r="134" customFormat="false" ht="15" hidden="false" customHeight="true" outlineLevel="0" collapsed="false">
      <c r="A134" s="32" t="n">
        <v>132</v>
      </c>
      <c r="B134" s="33" t="n">
        <v>46245.514838287</v>
      </c>
      <c r="C134" s="32" t="s">
        <v>90</v>
      </c>
      <c r="D134" s="32" t="str">
        <f aca="false">IF($B134="","",IFERROR(VLOOKUP(TRIM($C134),ModelMap,2,FALSE()),TRIM($C134)))</f>
        <v>X628</v>
      </c>
      <c r="E134" s="32" t="s">
        <v>428</v>
      </c>
      <c r="F134" s="32" t="s">
        <v>429</v>
      </c>
      <c r="G134" s="32" t="s">
        <v>132</v>
      </c>
      <c r="H134" s="32"/>
      <c r="I134" s="32"/>
      <c r="J134" s="32" t="s">
        <v>129</v>
      </c>
      <c r="K134" s="32" t="str">
        <f aca="false">IF($B134="","",LOWER(TRIM($G134)&amp;" | "&amp;TRIM($H134)&amp;" | "&amp;TRIM($I134)))</f>
        <v>working |  | </v>
      </c>
      <c r="L134" s="34" t="b">
        <f aca="false">IF($B134="","",SUMPRODUCT(--ISNUMBER(SEARCH(SensorKW,$K134)))&gt;0)</f>
        <v>0</v>
      </c>
      <c r="M134" s="34" t="b">
        <f aca="false">IF($B134="","",SUMPRODUCT(--ISNUMBER(SEARCH(DisplayKW,$K134)))&gt;0)</f>
        <v>0</v>
      </c>
      <c r="N134" s="34" t="b">
        <f aca="false">IF($B134="","",SUMPRODUCT(--ISNUMBER(SEARCH(KeypadKW,$K134)))&gt;0)</f>
        <v>0</v>
      </c>
      <c r="O134" s="34" t="b">
        <f aca="false">IF($B134="","",SUMPRODUCT(--ISNUMBER(SEARCH(PowerKW,$K134)))&gt;0)</f>
        <v>0</v>
      </c>
      <c r="P134" s="34" t="b">
        <f aca="false">IF($B134="","",SUMPRODUCT(--ISNUMBER(SEARCH(SpeakerKW,$K134)))&gt;0)</f>
        <v>0</v>
      </c>
      <c r="Q134" s="34" t="b">
        <f aca="false">IF($B134="","",OR(SUMPRODUCT(--ISNUMBER(SEARCH(EmptyKW,$K134)))&gt;0,LOWER(TRIM($F134))="empty"))</f>
        <v>0</v>
      </c>
      <c r="R134" s="34" t="b">
        <f aca="false">IF($B134="","",OR(ISNUMBER(SEARCH("repair",$G134)),ISNUMBER(SEARCH("not working",$G134))))</f>
        <v>0</v>
      </c>
      <c r="S134" s="32" t="str">
        <f aca="false">IF(AND($B134&lt;&gt;"",$M134=TRUE(),$L134=FALSE(),$Q134=FALSE()),COUNTIFS($M$3:$M134,TRUE(),$L$3:$L134,FALSE(),$Q$3:$Q134,FALSE()),"")</f>
        <v/>
      </c>
      <c r="T134" s="32" t="str">
        <f aca="false">IF($B134="","",IF($Q134=TRUE(),"U1",IF($L134=TRUE(),"S1",IF($M134=TRUE(),"D"&amp;MIN(4,INT(($S134-1)/DisplayCapacity)+1),IF($N134=TRUE(),"K1",IF($O134=TRUE(),"P1",IF($P134=TRUE(),"U1",IF($R134=TRUE(),"U1","W"))))))))</f>
        <v>W</v>
      </c>
      <c r="U134" s="32" t="str">
        <f aca="false">IF($T134="","",$T134&amp;"-"&amp;COUNTIF($T$3:T134,$T134))</f>
        <v>W-73</v>
      </c>
      <c r="V134" s="32" t="str">
        <f aca="false">IF($B134="","",_xlfn.TEXTJOIN(" | ",TRUE(),IF($Q134=TRUE(),"Empty box - no physical device, verify status",""),IF(AND($P134=TRUE(),$L134=FALSE(),$M134=FALSE(),$N134=FALSE(),$O134=FALSE(),$Q134=FALSE()),"Speaker fault only - needs manual box assignment",""),IF(AND($R134=TRUE(),$L134=FALSE(),$M134=FALSE(),$N134=FALSE(),$O134=FALSE(),$P134=FALSE(),$Q134=FALSE()),"No fault detail given - needs technician inspection",""),IF(AND(COUNTIF($F$3:$F$252,$F134)&gt;1,LOWER(TRIM($F134))&lt;&gt;"empty"),"Duplicate Serial No - verify device identity",""),IF((--$L134+--$M134+--$N134+--$O134+--$P134)&gt;1,"Multiple fault types detected - review full details before repair","")))</f>
        <v/>
      </c>
      <c r="W134" s="32" t="n">
        <v>0</v>
      </c>
      <c r="X134" s="32"/>
    </row>
    <row r="135" customFormat="false" ht="15" hidden="false" customHeight="true" outlineLevel="0" collapsed="false">
      <c r="A135" s="26" t="n">
        <v>133</v>
      </c>
      <c r="B135" s="30" t="n">
        <v>46245.5175533333</v>
      </c>
      <c r="C135" s="26" t="s">
        <v>90</v>
      </c>
      <c r="D135" s="26" t="str">
        <f aca="false">IF($B135="","",IFERROR(VLOOKUP(TRIM($C135),ModelMap,2,FALSE()),TRIM($C135)))</f>
        <v>X628</v>
      </c>
      <c r="E135" s="26" t="s">
        <v>430</v>
      </c>
      <c r="F135" s="26" t="s">
        <v>431</v>
      </c>
      <c r="G135" s="26" t="s">
        <v>132</v>
      </c>
      <c r="H135" s="26"/>
      <c r="I135" s="26"/>
      <c r="J135" s="26" t="s">
        <v>129</v>
      </c>
      <c r="K135" s="26" t="str">
        <f aca="false">IF($B135="","",LOWER(TRIM($G135)&amp;" | "&amp;TRIM($H135)&amp;" | "&amp;TRIM($I135)))</f>
        <v>working |  | </v>
      </c>
      <c r="L135" s="31" t="b">
        <f aca="false">IF($B135="","",SUMPRODUCT(--ISNUMBER(SEARCH(SensorKW,$K135)))&gt;0)</f>
        <v>0</v>
      </c>
      <c r="M135" s="31" t="b">
        <f aca="false">IF($B135="","",SUMPRODUCT(--ISNUMBER(SEARCH(DisplayKW,$K135)))&gt;0)</f>
        <v>0</v>
      </c>
      <c r="N135" s="31" t="b">
        <f aca="false">IF($B135="","",SUMPRODUCT(--ISNUMBER(SEARCH(KeypadKW,$K135)))&gt;0)</f>
        <v>0</v>
      </c>
      <c r="O135" s="31" t="b">
        <f aca="false">IF($B135="","",SUMPRODUCT(--ISNUMBER(SEARCH(PowerKW,$K135)))&gt;0)</f>
        <v>0</v>
      </c>
      <c r="P135" s="31" t="b">
        <f aca="false">IF($B135="","",SUMPRODUCT(--ISNUMBER(SEARCH(SpeakerKW,$K135)))&gt;0)</f>
        <v>0</v>
      </c>
      <c r="Q135" s="31" t="b">
        <f aca="false">IF($B135="","",OR(SUMPRODUCT(--ISNUMBER(SEARCH(EmptyKW,$K135)))&gt;0,LOWER(TRIM($F135))="empty"))</f>
        <v>0</v>
      </c>
      <c r="R135" s="31" t="b">
        <f aca="false">IF($B135="","",OR(ISNUMBER(SEARCH("repair",$G135)),ISNUMBER(SEARCH("not working",$G135))))</f>
        <v>0</v>
      </c>
      <c r="S135" s="26" t="str">
        <f aca="false">IF(AND($B135&lt;&gt;"",$M135=TRUE(),$L135=FALSE(),$Q135=FALSE()),COUNTIFS($M$3:$M135,TRUE(),$L$3:$L135,FALSE(),$Q$3:$Q135,FALSE()),"")</f>
        <v/>
      </c>
      <c r="T135" s="26" t="str">
        <f aca="false">IF($B135="","",IF($Q135=TRUE(),"U1",IF($L135=TRUE(),"S1",IF($M135=TRUE(),"D"&amp;MIN(4,INT(($S135-1)/DisplayCapacity)+1),IF($N135=TRUE(),"K1",IF($O135=TRUE(),"P1",IF($P135=TRUE(),"U1",IF($R135=TRUE(),"U1","W"))))))))</f>
        <v>W</v>
      </c>
      <c r="U135" s="26" t="str">
        <f aca="false">IF($T135="","",$T135&amp;"-"&amp;COUNTIF($T$3:T135,$T135))</f>
        <v>W-74</v>
      </c>
      <c r="V135" s="26" t="str">
        <f aca="false">IF($B135="","",_xlfn.TEXTJOIN(" | ",TRUE(),IF($Q135=TRUE(),"Empty box - no physical device, verify status",""),IF(AND($P135=TRUE(),$L135=FALSE(),$M135=FALSE(),$N135=FALSE(),$O135=FALSE(),$Q135=FALSE()),"Speaker fault only - needs manual box assignment",""),IF(AND($R135=TRUE(),$L135=FALSE(),$M135=FALSE(),$N135=FALSE(),$O135=FALSE(),$P135=FALSE(),$Q135=FALSE()),"No fault detail given - needs technician inspection",""),IF(AND(COUNTIF($F$3:$F$252,$F135)&gt;1,LOWER(TRIM($F135))&lt;&gt;"empty"),"Duplicate Serial No - verify device identity",""),IF((--$L135+--$M135+--$N135+--$O135+--$P135)&gt;1,"Multiple fault types detected - review full details before repair","")))</f>
        <v/>
      </c>
      <c r="W135" s="26" t="n">
        <v>0</v>
      </c>
      <c r="X135" s="26"/>
    </row>
    <row r="136" customFormat="false" ht="15" hidden="false" customHeight="true" outlineLevel="0" collapsed="false">
      <c r="A136" s="32" t="n">
        <v>134</v>
      </c>
      <c r="B136" s="33" t="n">
        <v>46245.5266999653</v>
      </c>
      <c r="C136" s="32" t="s">
        <v>90</v>
      </c>
      <c r="D136" s="32" t="str">
        <f aca="false">IF($B136="","",IFERROR(VLOOKUP(TRIM($C136),ModelMap,2,FALSE()),TRIM($C136)))</f>
        <v>X628</v>
      </c>
      <c r="E136" s="32" t="s">
        <v>432</v>
      </c>
      <c r="F136" s="32" t="s">
        <v>433</v>
      </c>
      <c r="G136" s="32" t="s">
        <v>132</v>
      </c>
      <c r="H136" s="32"/>
      <c r="I136" s="32"/>
      <c r="J136" s="32" t="s">
        <v>129</v>
      </c>
      <c r="K136" s="32" t="str">
        <f aca="false">IF($B136="","",LOWER(TRIM($G136)&amp;" | "&amp;TRIM($H136)&amp;" | "&amp;TRIM($I136)))</f>
        <v>working |  | </v>
      </c>
      <c r="L136" s="34" t="b">
        <f aca="false">IF($B136="","",SUMPRODUCT(--ISNUMBER(SEARCH(SensorKW,$K136)))&gt;0)</f>
        <v>0</v>
      </c>
      <c r="M136" s="34" t="b">
        <f aca="false">IF($B136="","",SUMPRODUCT(--ISNUMBER(SEARCH(DisplayKW,$K136)))&gt;0)</f>
        <v>0</v>
      </c>
      <c r="N136" s="34" t="b">
        <f aca="false">IF($B136="","",SUMPRODUCT(--ISNUMBER(SEARCH(KeypadKW,$K136)))&gt;0)</f>
        <v>0</v>
      </c>
      <c r="O136" s="34" t="b">
        <f aca="false">IF($B136="","",SUMPRODUCT(--ISNUMBER(SEARCH(PowerKW,$K136)))&gt;0)</f>
        <v>0</v>
      </c>
      <c r="P136" s="34" t="b">
        <f aca="false">IF($B136="","",SUMPRODUCT(--ISNUMBER(SEARCH(SpeakerKW,$K136)))&gt;0)</f>
        <v>0</v>
      </c>
      <c r="Q136" s="34" t="b">
        <f aca="false">IF($B136="","",OR(SUMPRODUCT(--ISNUMBER(SEARCH(EmptyKW,$K136)))&gt;0,LOWER(TRIM($F136))="empty"))</f>
        <v>0</v>
      </c>
      <c r="R136" s="34" t="b">
        <f aca="false">IF($B136="","",OR(ISNUMBER(SEARCH("repair",$G136)),ISNUMBER(SEARCH("not working",$G136))))</f>
        <v>0</v>
      </c>
      <c r="S136" s="32" t="str">
        <f aca="false">IF(AND($B136&lt;&gt;"",$M136=TRUE(),$L136=FALSE(),$Q136=FALSE()),COUNTIFS($M$3:$M136,TRUE(),$L$3:$L136,FALSE(),$Q$3:$Q136,FALSE()),"")</f>
        <v/>
      </c>
      <c r="T136" s="32" t="str">
        <f aca="false">IF($B136="","",IF($Q136=TRUE(),"U1",IF($L136=TRUE(),"S1",IF($M136=TRUE(),"D"&amp;MIN(4,INT(($S136-1)/DisplayCapacity)+1),IF($N136=TRUE(),"K1",IF($O136=TRUE(),"P1",IF($P136=TRUE(),"U1",IF($R136=TRUE(),"U1","W"))))))))</f>
        <v>W</v>
      </c>
      <c r="U136" s="32" t="str">
        <f aca="false">IF($T136="","",$T136&amp;"-"&amp;COUNTIF($T$3:T136,$T136))</f>
        <v>W-75</v>
      </c>
      <c r="V136" s="32" t="str">
        <f aca="false">IF($B136="","",_xlfn.TEXTJOIN(" | ",TRUE(),IF($Q136=TRUE(),"Empty box - no physical device, verify status",""),IF(AND($P136=TRUE(),$L136=FALSE(),$M136=FALSE(),$N136=FALSE(),$O136=FALSE(),$Q136=FALSE()),"Speaker fault only - needs manual box assignment",""),IF(AND($R136=TRUE(),$L136=FALSE(),$M136=FALSE(),$N136=FALSE(),$O136=FALSE(),$P136=FALSE(),$Q136=FALSE()),"No fault detail given - needs technician inspection",""),IF(AND(COUNTIF($F$3:$F$252,$F136)&gt;1,LOWER(TRIM($F136))&lt;&gt;"empty"),"Duplicate Serial No - verify device identity",""),IF((--$L136+--$M136+--$N136+--$O136+--$P136)&gt;1,"Multiple fault types detected - review full details before repair","")))</f>
        <v/>
      </c>
      <c r="W136" s="32" t="n">
        <v>0</v>
      </c>
      <c r="X136" s="32"/>
    </row>
    <row r="137" customFormat="false" ht="15" hidden="false" customHeight="true" outlineLevel="0" collapsed="false">
      <c r="A137" s="26" t="n">
        <v>135</v>
      </c>
      <c r="B137" s="30" t="n">
        <v>46245.5295512963</v>
      </c>
      <c r="C137" s="26" t="s">
        <v>90</v>
      </c>
      <c r="D137" s="26" t="str">
        <f aca="false">IF($B137="","",IFERROR(VLOOKUP(TRIM($C137),ModelMap,2,FALSE()),TRIM($C137)))</f>
        <v>X628</v>
      </c>
      <c r="E137" s="26" t="s">
        <v>434</v>
      </c>
      <c r="F137" s="26" t="s">
        <v>435</v>
      </c>
      <c r="G137" s="26" t="s">
        <v>150</v>
      </c>
      <c r="H137" s="26"/>
      <c r="I137" s="26" t="s">
        <v>436</v>
      </c>
      <c r="J137" s="26" t="s">
        <v>129</v>
      </c>
      <c r="K137" s="26" t="str">
        <f aca="false">IF($B137="","",LOWER(TRIM($G137)&amp;" | "&amp;TRIM($H137)&amp;" | "&amp;TRIM($I137)))</f>
        <v>working, have to repair |  | display is broken</v>
      </c>
      <c r="L137" s="31" t="b">
        <f aca="false">IF($B137="","",SUMPRODUCT(--ISNUMBER(SEARCH(SensorKW,$K137)))&gt;0)</f>
        <v>0</v>
      </c>
      <c r="M137" s="31" t="b">
        <f aca="false">IF($B137="","",SUMPRODUCT(--ISNUMBER(SEARCH(DisplayKW,$K137)))&gt;0)</f>
        <v>1</v>
      </c>
      <c r="N137" s="31" t="b">
        <f aca="false">IF($B137="","",SUMPRODUCT(--ISNUMBER(SEARCH(KeypadKW,$K137)))&gt;0)</f>
        <v>0</v>
      </c>
      <c r="O137" s="31" t="b">
        <f aca="false">IF($B137="","",SUMPRODUCT(--ISNUMBER(SEARCH(PowerKW,$K137)))&gt;0)</f>
        <v>0</v>
      </c>
      <c r="P137" s="31" t="b">
        <f aca="false">IF($B137="","",SUMPRODUCT(--ISNUMBER(SEARCH(SpeakerKW,$K137)))&gt;0)</f>
        <v>0</v>
      </c>
      <c r="Q137" s="31" t="b">
        <f aca="false">IF($B137="","",OR(SUMPRODUCT(--ISNUMBER(SEARCH(EmptyKW,$K137)))&gt;0,LOWER(TRIM($F137))="empty"))</f>
        <v>0</v>
      </c>
      <c r="R137" s="31" t="b">
        <f aca="false">IF($B137="","",OR(ISNUMBER(SEARCH("repair",$G137)),ISNUMBER(SEARCH("not working",$G137))))</f>
        <v>1</v>
      </c>
      <c r="S137" s="26" t="n">
        <f aca="false">IF(AND($B137&lt;&gt;"",$M137=TRUE(),$L137=FALSE(),$Q137=FALSE()),COUNTIFS($M$3:$M137,TRUE(),$L$3:$L137,FALSE(),$Q$3:$Q137,FALSE()),"")</f>
        <v>25</v>
      </c>
      <c r="T137" s="26" t="str">
        <f aca="false">IF($B137="","",IF($Q137=TRUE(),"U1",IF($L137=TRUE(),"S1",IF($M137=TRUE(),"D"&amp;MIN(4,INT(($S137-1)/DisplayCapacity)+1),IF($N137=TRUE(),"K1",IF($O137=TRUE(),"P1",IF($P137=TRUE(),"U1",IF($R137=TRUE(),"U1","W"))))))))</f>
        <v>D4</v>
      </c>
      <c r="U137" s="26" t="str">
        <f aca="false">IF($T137="","",$T137&amp;"-"&amp;COUNTIF($T$3:T137,$T137))</f>
        <v>D4-4</v>
      </c>
      <c r="V137" s="26" t="str">
        <f aca="false">IF($B137="","",_xlfn.TEXTJOIN(" | ",TRUE(),IF($Q137=TRUE(),"Empty box - no physical device, verify status",""),IF(AND($P137=TRUE(),$L137=FALSE(),$M137=FALSE(),$N137=FALSE(),$O137=FALSE(),$Q137=FALSE()),"Speaker fault only - needs manual box assignment",""),IF(AND($R137=TRUE(),$L137=FALSE(),$M137=FALSE(),$N137=FALSE(),$O137=FALSE(),$P137=FALSE(),$Q137=FALSE()),"No fault detail given - needs technician inspection",""),IF(AND(COUNTIF($F$3:$F$252,$F137)&gt;1,LOWER(TRIM($F137))&lt;&gt;"empty"),"Duplicate Serial No - verify device identity",""),IF((--$L137+--$M137+--$N137+--$O137+--$P137)&gt;1,"Multiple fault types detected - review full details before repair","")))</f>
        <v/>
      </c>
      <c r="W137" s="26" t="n">
        <v>0</v>
      </c>
      <c r="X137" s="26"/>
    </row>
    <row r="138" customFormat="false" ht="15" hidden="false" customHeight="true" outlineLevel="0" collapsed="false">
      <c r="A138" s="32" t="n">
        <v>136</v>
      </c>
      <c r="B138" s="33" t="n">
        <v>46245.531750706</v>
      </c>
      <c r="C138" s="32" t="s">
        <v>93</v>
      </c>
      <c r="D138" s="32" t="str">
        <f aca="false">IF($B138="","",IFERROR(VLOOKUP(TRIM($C138),ModelMap,2,FALSE()),TRIM($C138)))</f>
        <v>X628-C</v>
      </c>
      <c r="E138" s="32" t="s">
        <v>434</v>
      </c>
      <c r="F138" s="32" t="s">
        <v>437</v>
      </c>
      <c r="G138" s="32" t="s">
        <v>132</v>
      </c>
      <c r="H138" s="32"/>
      <c r="I138" s="32"/>
      <c r="J138" s="32" t="s">
        <v>133</v>
      </c>
      <c r="K138" s="32" t="str">
        <f aca="false">IF($B138="","",LOWER(TRIM($G138)&amp;" | "&amp;TRIM($H138)&amp;" | "&amp;TRIM($I138)))</f>
        <v>working |  | </v>
      </c>
      <c r="L138" s="34" t="b">
        <f aca="false">IF($B138="","",SUMPRODUCT(--ISNUMBER(SEARCH(SensorKW,$K138)))&gt;0)</f>
        <v>0</v>
      </c>
      <c r="M138" s="34" t="b">
        <f aca="false">IF($B138="","",SUMPRODUCT(--ISNUMBER(SEARCH(DisplayKW,$K138)))&gt;0)</f>
        <v>0</v>
      </c>
      <c r="N138" s="34" t="b">
        <f aca="false">IF($B138="","",SUMPRODUCT(--ISNUMBER(SEARCH(KeypadKW,$K138)))&gt;0)</f>
        <v>0</v>
      </c>
      <c r="O138" s="34" t="b">
        <f aca="false">IF($B138="","",SUMPRODUCT(--ISNUMBER(SEARCH(PowerKW,$K138)))&gt;0)</f>
        <v>0</v>
      </c>
      <c r="P138" s="34" t="b">
        <f aca="false">IF($B138="","",SUMPRODUCT(--ISNUMBER(SEARCH(SpeakerKW,$K138)))&gt;0)</f>
        <v>0</v>
      </c>
      <c r="Q138" s="34" t="b">
        <f aca="false">IF($B138="","",OR(SUMPRODUCT(--ISNUMBER(SEARCH(EmptyKW,$K138)))&gt;0,LOWER(TRIM($F138))="empty"))</f>
        <v>0</v>
      </c>
      <c r="R138" s="34" t="b">
        <f aca="false">IF($B138="","",OR(ISNUMBER(SEARCH("repair",$G138)),ISNUMBER(SEARCH("not working",$G138))))</f>
        <v>0</v>
      </c>
      <c r="S138" s="32" t="str">
        <f aca="false">IF(AND($B138&lt;&gt;"",$M138=TRUE(),$L138=FALSE(),$Q138=FALSE()),COUNTIFS($M$3:$M138,TRUE(),$L$3:$L138,FALSE(),$Q$3:$Q138,FALSE()),"")</f>
        <v/>
      </c>
      <c r="T138" s="32" t="str">
        <f aca="false">IF($B138="","",IF($Q138=TRUE(),"U1",IF($L138=TRUE(),"S1",IF($M138=TRUE(),"D"&amp;MIN(4,INT(($S138-1)/DisplayCapacity)+1),IF($N138=TRUE(),"K1",IF($O138=TRUE(),"P1",IF($P138=TRUE(),"U1",IF($R138=TRUE(),"U1","W"))))))))</f>
        <v>W</v>
      </c>
      <c r="U138" s="32" t="str">
        <f aca="false">IF($T138="","",$T138&amp;"-"&amp;COUNTIF($T$3:T138,$T138))</f>
        <v>W-76</v>
      </c>
      <c r="V138" s="32" t="str">
        <f aca="false">IF($B138="","",_xlfn.TEXTJOIN(" | ",TRUE(),IF($Q138=TRUE(),"Empty box - no physical device, verify status",""),IF(AND($P138=TRUE(),$L138=FALSE(),$M138=FALSE(),$N138=FALSE(),$O138=FALSE(),$Q138=FALSE()),"Speaker fault only - needs manual box assignment",""),IF(AND($R138=TRUE(),$L138=FALSE(),$M138=FALSE(),$N138=FALSE(),$O138=FALSE(),$P138=FALSE(),$Q138=FALSE()),"No fault detail given - needs technician inspection",""),IF(AND(COUNTIF($F$3:$F$252,$F138)&gt;1,LOWER(TRIM($F138))&lt;&gt;"empty"),"Duplicate Serial No - verify device identity",""),IF((--$L138+--$M138+--$N138+--$O138+--$P138)&gt;1,"Multiple fault types detected - review full details before repair","")))</f>
        <v/>
      </c>
      <c r="W138" s="32" t="n">
        <v>0</v>
      </c>
      <c r="X138" s="32"/>
    </row>
    <row r="139" customFormat="false" ht="15" hidden="false" customHeight="true" outlineLevel="0" collapsed="false">
      <c r="A139" s="26" t="n">
        <v>137</v>
      </c>
      <c r="B139" s="30" t="n">
        <v>46245.5351183218</v>
      </c>
      <c r="C139" s="26" t="s">
        <v>93</v>
      </c>
      <c r="D139" s="26" t="str">
        <f aca="false">IF($B139="","",IFERROR(VLOOKUP(TRIM($C139),ModelMap,2,FALSE()),TRIM($C139)))</f>
        <v>X628-C</v>
      </c>
      <c r="E139" s="26" t="s">
        <v>434</v>
      </c>
      <c r="F139" s="26" t="s">
        <v>438</v>
      </c>
      <c r="G139" s="26" t="s">
        <v>132</v>
      </c>
      <c r="H139" s="26"/>
      <c r="I139" s="26"/>
      <c r="J139" s="26" t="s">
        <v>133</v>
      </c>
      <c r="K139" s="26" t="str">
        <f aca="false">IF($B139="","",LOWER(TRIM($G139)&amp;" | "&amp;TRIM($H139)&amp;" | "&amp;TRIM($I139)))</f>
        <v>working |  | </v>
      </c>
      <c r="L139" s="31" t="b">
        <f aca="false">IF($B139="","",SUMPRODUCT(--ISNUMBER(SEARCH(SensorKW,$K139)))&gt;0)</f>
        <v>0</v>
      </c>
      <c r="M139" s="31" t="b">
        <f aca="false">IF($B139="","",SUMPRODUCT(--ISNUMBER(SEARCH(DisplayKW,$K139)))&gt;0)</f>
        <v>0</v>
      </c>
      <c r="N139" s="31" t="b">
        <f aca="false">IF($B139="","",SUMPRODUCT(--ISNUMBER(SEARCH(KeypadKW,$K139)))&gt;0)</f>
        <v>0</v>
      </c>
      <c r="O139" s="31" t="b">
        <f aca="false">IF($B139="","",SUMPRODUCT(--ISNUMBER(SEARCH(PowerKW,$K139)))&gt;0)</f>
        <v>0</v>
      </c>
      <c r="P139" s="31" t="b">
        <f aca="false">IF($B139="","",SUMPRODUCT(--ISNUMBER(SEARCH(SpeakerKW,$K139)))&gt;0)</f>
        <v>0</v>
      </c>
      <c r="Q139" s="31" t="b">
        <f aca="false">IF($B139="","",OR(SUMPRODUCT(--ISNUMBER(SEARCH(EmptyKW,$K139)))&gt;0,LOWER(TRIM($F139))="empty"))</f>
        <v>0</v>
      </c>
      <c r="R139" s="31" t="b">
        <f aca="false">IF($B139="","",OR(ISNUMBER(SEARCH("repair",$G139)),ISNUMBER(SEARCH("not working",$G139))))</f>
        <v>0</v>
      </c>
      <c r="S139" s="26" t="str">
        <f aca="false">IF(AND($B139&lt;&gt;"",$M139=TRUE(),$L139=FALSE(),$Q139=FALSE()),COUNTIFS($M$3:$M139,TRUE(),$L$3:$L139,FALSE(),$Q$3:$Q139,FALSE()),"")</f>
        <v/>
      </c>
      <c r="T139" s="26" t="str">
        <f aca="false">IF($B139="","",IF($Q139=TRUE(),"U1",IF($L139=TRUE(),"S1",IF($M139=TRUE(),"D"&amp;MIN(4,INT(($S139-1)/DisplayCapacity)+1),IF($N139=TRUE(),"K1",IF($O139=TRUE(),"P1",IF($P139=TRUE(),"U1",IF($R139=TRUE(),"U1","W"))))))))</f>
        <v>W</v>
      </c>
      <c r="U139" s="26" t="str">
        <f aca="false">IF($T139="","",$T139&amp;"-"&amp;COUNTIF($T$3:T139,$T139))</f>
        <v>W-77</v>
      </c>
      <c r="V139" s="26" t="str">
        <f aca="false">IF($B139="","",_xlfn.TEXTJOIN(" | ",TRUE(),IF($Q139=TRUE(),"Empty box - no physical device, verify status",""),IF(AND($P139=TRUE(),$L139=FALSE(),$M139=FALSE(),$N139=FALSE(),$O139=FALSE(),$Q139=FALSE()),"Speaker fault only - needs manual box assignment",""),IF(AND($R139=TRUE(),$L139=FALSE(),$M139=FALSE(),$N139=FALSE(),$O139=FALSE(),$P139=FALSE(),$Q139=FALSE()),"No fault detail given - needs technician inspection",""),IF(AND(COUNTIF($F$3:$F$252,$F139)&gt;1,LOWER(TRIM($F139))&lt;&gt;"empty"),"Duplicate Serial No - verify device identity",""),IF((--$L139+--$M139+--$N139+--$O139+--$P139)&gt;1,"Multiple fault types detected - review full details before repair","")))</f>
        <v/>
      </c>
      <c r="W139" s="26" t="n">
        <v>0</v>
      </c>
      <c r="X139" s="26"/>
    </row>
    <row r="140" customFormat="false" ht="15" hidden="false" customHeight="true" outlineLevel="0" collapsed="false">
      <c r="A140" s="32" t="n">
        <v>138</v>
      </c>
      <c r="B140" s="33" t="n">
        <v>46245.5376421065</v>
      </c>
      <c r="C140" s="32" t="s">
        <v>93</v>
      </c>
      <c r="D140" s="32" t="str">
        <f aca="false">IF($B140="","",IFERROR(VLOOKUP(TRIM($C140),ModelMap,2,FALSE()),TRIM($C140)))</f>
        <v>X628-C</v>
      </c>
      <c r="E140" s="32" t="s">
        <v>434</v>
      </c>
      <c r="F140" s="32" t="s">
        <v>439</v>
      </c>
      <c r="G140" s="32" t="s">
        <v>132</v>
      </c>
      <c r="H140" s="32"/>
      <c r="I140" s="32"/>
      <c r="J140" s="32" t="s">
        <v>133</v>
      </c>
      <c r="K140" s="32" t="str">
        <f aca="false">IF($B140="","",LOWER(TRIM($G140)&amp;" | "&amp;TRIM($H140)&amp;" | "&amp;TRIM($I140)))</f>
        <v>working |  | </v>
      </c>
      <c r="L140" s="34" t="b">
        <f aca="false">IF($B140="","",SUMPRODUCT(--ISNUMBER(SEARCH(SensorKW,$K140)))&gt;0)</f>
        <v>0</v>
      </c>
      <c r="M140" s="34" t="b">
        <f aca="false">IF($B140="","",SUMPRODUCT(--ISNUMBER(SEARCH(DisplayKW,$K140)))&gt;0)</f>
        <v>0</v>
      </c>
      <c r="N140" s="34" t="b">
        <f aca="false">IF($B140="","",SUMPRODUCT(--ISNUMBER(SEARCH(KeypadKW,$K140)))&gt;0)</f>
        <v>0</v>
      </c>
      <c r="O140" s="34" t="b">
        <f aca="false">IF($B140="","",SUMPRODUCT(--ISNUMBER(SEARCH(PowerKW,$K140)))&gt;0)</f>
        <v>0</v>
      </c>
      <c r="P140" s="34" t="b">
        <f aca="false">IF($B140="","",SUMPRODUCT(--ISNUMBER(SEARCH(SpeakerKW,$K140)))&gt;0)</f>
        <v>0</v>
      </c>
      <c r="Q140" s="34" t="b">
        <f aca="false">IF($B140="","",OR(SUMPRODUCT(--ISNUMBER(SEARCH(EmptyKW,$K140)))&gt;0,LOWER(TRIM($F140))="empty"))</f>
        <v>0</v>
      </c>
      <c r="R140" s="34" t="b">
        <f aca="false">IF($B140="","",OR(ISNUMBER(SEARCH("repair",$G140)),ISNUMBER(SEARCH("not working",$G140))))</f>
        <v>0</v>
      </c>
      <c r="S140" s="32" t="str">
        <f aca="false">IF(AND($B140&lt;&gt;"",$M140=TRUE(),$L140=FALSE(),$Q140=FALSE()),COUNTIFS($M$3:$M140,TRUE(),$L$3:$L140,FALSE(),$Q$3:$Q140,FALSE()),"")</f>
        <v/>
      </c>
      <c r="T140" s="32" t="str">
        <f aca="false">IF($B140="","",IF($Q140=TRUE(),"U1",IF($L140=TRUE(),"S1",IF($M140=TRUE(),"D"&amp;MIN(4,INT(($S140-1)/DisplayCapacity)+1),IF($N140=TRUE(),"K1",IF($O140=TRUE(),"P1",IF($P140=TRUE(),"U1",IF($R140=TRUE(),"U1","W"))))))))</f>
        <v>W</v>
      </c>
      <c r="U140" s="32" t="str">
        <f aca="false">IF($T140="","",$T140&amp;"-"&amp;COUNTIF($T$3:T140,$T140))</f>
        <v>W-78</v>
      </c>
      <c r="V140" s="32" t="str">
        <f aca="false">IF($B140="","",_xlfn.TEXTJOIN(" | ",TRUE(),IF($Q140=TRUE(),"Empty box - no physical device, verify status",""),IF(AND($P140=TRUE(),$L140=FALSE(),$M140=FALSE(),$N140=FALSE(),$O140=FALSE(),$Q140=FALSE()),"Speaker fault only - needs manual box assignment",""),IF(AND($R140=TRUE(),$L140=FALSE(),$M140=FALSE(),$N140=FALSE(),$O140=FALSE(),$P140=FALSE(),$Q140=FALSE()),"No fault detail given - needs technician inspection",""),IF(AND(COUNTIF($F$3:$F$252,$F140)&gt;1,LOWER(TRIM($F140))&lt;&gt;"empty"),"Duplicate Serial No - verify device identity",""),IF((--$L140+--$M140+--$N140+--$O140+--$P140)&gt;1,"Multiple fault types detected - review full details before repair","")))</f>
        <v/>
      </c>
      <c r="W140" s="32" t="n">
        <v>0</v>
      </c>
      <c r="X140" s="32"/>
    </row>
    <row r="141" customFormat="false" ht="15" hidden="false" customHeight="true" outlineLevel="0" collapsed="false">
      <c r="A141" s="26" t="n">
        <v>139</v>
      </c>
      <c r="B141" s="30" t="n">
        <v>46245.5419474884</v>
      </c>
      <c r="C141" s="26" t="s">
        <v>90</v>
      </c>
      <c r="D141" s="26" t="str">
        <f aca="false">IF($B141="","",IFERROR(VLOOKUP(TRIM($C141),ModelMap,2,FALSE()),TRIM($C141)))</f>
        <v>X628</v>
      </c>
      <c r="E141" s="26" t="s">
        <v>434</v>
      </c>
      <c r="F141" s="26" t="s">
        <v>440</v>
      </c>
      <c r="G141" s="26" t="s">
        <v>142</v>
      </c>
      <c r="H141" s="26" t="s">
        <v>441</v>
      </c>
      <c r="I141" s="26"/>
      <c r="J141" s="26" t="s">
        <v>129</v>
      </c>
      <c r="K141" s="26" t="str">
        <f aca="false">IF($B141="","",LOWER(TRIM($G141)&amp;" | "&amp;TRIM($H141)&amp;" | "&amp;TRIM($I141)))</f>
        <v>have to repair | finger print scanner and key board not working properly | </v>
      </c>
      <c r="L141" s="31" t="b">
        <f aca="false">IF($B141="","",SUMPRODUCT(--ISNUMBER(SEARCH(SensorKW,$K141)))&gt;0)</f>
        <v>1</v>
      </c>
      <c r="M141" s="31" t="b">
        <f aca="false">IF($B141="","",SUMPRODUCT(--ISNUMBER(SEARCH(DisplayKW,$K141)))&gt;0)</f>
        <v>0</v>
      </c>
      <c r="N141" s="31" t="b">
        <f aca="false">IF($B141="","",SUMPRODUCT(--ISNUMBER(SEARCH(KeypadKW,$K141)))&gt;0)</f>
        <v>1</v>
      </c>
      <c r="O141" s="31" t="b">
        <f aca="false">IF($B141="","",SUMPRODUCT(--ISNUMBER(SEARCH(PowerKW,$K141)))&gt;0)</f>
        <v>0</v>
      </c>
      <c r="P141" s="31" t="b">
        <f aca="false">IF($B141="","",SUMPRODUCT(--ISNUMBER(SEARCH(SpeakerKW,$K141)))&gt;0)</f>
        <v>0</v>
      </c>
      <c r="Q141" s="31" t="b">
        <f aca="false">IF($B141="","",OR(SUMPRODUCT(--ISNUMBER(SEARCH(EmptyKW,$K141)))&gt;0,LOWER(TRIM($F141))="empty"))</f>
        <v>0</v>
      </c>
      <c r="R141" s="31" t="b">
        <f aca="false">IF($B141="","",OR(ISNUMBER(SEARCH("repair",$G141)),ISNUMBER(SEARCH("not working",$G141))))</f>
        <v>1</v>
      </c>
      <c r="S141" s="26" t="str">
        <f aca="false">IF(AND($B141&lt;&gt;"",$M141=TRUE(),$L141=FALSE(),$Q141=FALSE()),COUNTIFS($M$3:$M141,TRUE(),$L$3:$L141,FALSE(),$Q$3:$Q141,FALSE()),"")</f>
        <v/>
      </c>
      <c r="T141" s="26" t="str">
        <f aca="false">IF($B141="","",IF($Q141=TRUE(),"U1",IF($L141=TRUE(),"S1",IF($M141=TRUE(),"D"&amp;MIN(4,INT(($S141-1)/DisplayCapacity)+1),IF($N141=TRUE(),"K1",IF($O141=TRUE(),"P1",IF($P141=TRUE(),"U1",IF($R141=TRUE(),"U1","W"))))))))</f>
        <v>S1</v>
      </c>
      <c r="U141" s="26" t="str">
        <f aca="false">IF($T141="","",$T141&amp;"-"&amp;COUNTIF($T$3:T141,$T141))</f>
        <v>S1-26</v>
      </c>
      <c r="V141" s="26" t="str">
        <f aca="false">IF($B141="","",_xlfn.TEXTJOIN(" | ",TRUE(),IF($Q141=TRUE(),"Empty box - no physical device, verify status",""),IF(AND($P141=TRUE(),$L141=FALSE(),$M141=FALSE(),$N141=FALSE(),$O141=FALSE(),$Q141=FALSE()),"Speaker fault only - needs manual box assignment",""),IF(AND($R141=TRUE(),$L141=FALSE(),$M141=FALSE(),$N141=FALSE(),$O141=FALSE(),$P141=FALSE(),$Q141=FALSE()),"No fault detail given - needs technician inspection",""),IF(AND(COUNTIF($F$3:$F$252,$F141)&gt;1,LOWER(TRIM($F141))&lt;&gt;"empty"),"Duplicate Serial No - verify device identity",""),IF((--$L141+--$M141+--$N141+--$O141+--$P141)&gt;1,"Multiple fault types detected - review full details before repair","")))</f>
        <v>Multiple fault types detected - review full details before repair</v>
      </c>
      <c r="W141" s="26" t="n">
        <v>0</v>
      </c>
      <c r="X141" s="26"/>
    </row>
    <row r="142" customFormat="false" ht="15" hidden="false" customHeight="true" outlineLevel="0" collapsed="false">
      <c r="A142" s="32" t="n">
        <v>140</v>
      </c>
      <c r="B142" s="33" t="n">
        <v>46246.4898312037</v>
      </c>
      <c r="C142" s="32" t="s">
        <v>442</v>
      </c>
      <c r="D142" s="32" t="str">
        <f aca="false">IF($B142="","",IFERROR(VLOOKUP(TRIM($C142),ModelMap,2,FALSE()),TRIM($C142)))</f>
        <v>X628 Plus</v>
      </c>
      <c r="E142" s="32" t="s">
        <v>443</v>
      </c>
      <c r="F142" s="32" t="s">
        <v>444</v>
      </c>
      <c r="G142" s="32" t="s">
        <v>150</v>
      </c>
      <c r="H142" s="32"/>
      <c r="I142" s="32" t="s">
        <v>264</v>
      </c>
      <c r="J142" s="32" t="s">
        <v>129</v>
      </c>
      <c r="K142" s="32" t="str">
        <f aca="false">IF($B142="","",LOWER(TRIM($G142)&amp;" | "&amp;TRIM($H142)&amp;" | "&amp;TRIM($I142)))</f>
        <v>working, have to repair |  | speaker is not working</v>
      </c>
      <c r="L142" s="34" t="b">
        <f aca="false">IF($B142="","",SUMPRODUCT(--ISNUMBER(SEARCH(SensorKW,$K142)))&gt;0)</f>
        <v>0</v>
      </c>
      <c r="M142" s="34" t="b">
        <f aca="false">IF($B142="","",SUMPRODUCT(--ISNUMBER(SEARCH(DisplayKW,$K142)))&gt;0)</f>
        <v>0</v>
      </c>
      <c r="N142" s="34" t="b">
        <f aca="false">IF($B142="","",SUMPRODUCT(--ISNUMBER(SEARCH(KeypadKW,$K142)))&gt;0)</f>
        <v>0</v>
      </c>
      <c r="O142" s="34" t="b">
        <f aca="false">IF($B142="","",SUMPRODUCT(--ISNUMBER(SEARCH(PowerKW,$K142)))&gt;0)</f>
        <v>0</v>
      </c>
      <c r="P142" s="34" t="b">
        <f aca="false">IF($B142="","",SUMPRODUCT(--ISNUMBER(SEARCH(SpeakerKW,$K142)))&gt;0)</f>
        <v>1</v>
      </c>
      <c r="Q142" s="34" t="b">
        <f aca="false">IF($B142="","",OR(SUMPRODUCT(--ISNUMBER(SEARCH(EmptyKW,$K142)))&gt;0,LOWER(TRIM($F142))="empty"))</f>
        <v>0</v>
      </c>
      <c r="R142" s="34" t="b">
        <f aca="false">IF($B142="","",OR(ISNUMBER(SEARCH("repair",$G142)),ISNUMBER(SEARCH("not working",$G142))))</f>
        <v>1</v>
      </c>
      <c r="S142" s="32" t="str">
        <f aca="false">IF(AND($B142&lt;&gt;"",$M142=TRUE(),$L142=FALSE(),$Q142=FALSE()),COUNTIFS($M$3:$M142,TRUE(),$L$3:$L142,FALSE(),$Q$3:$Q142,FALSE()),"")</f>
        <v/>
      </c>
      <c r="T142" s="32" t="str">
        <f aca="false">IF($B142="","",IF($Q142=TRUE(),"U1",IF($L142=TRUE(),"S1",IF($M142=TRUE(),"D"&amp;MIN(4,INT(($S142-1)/DisplayCapacity)+1),IF($N142=TRUE(),"K1",IF($O142=TRUE(),"P1",IF($P142=TRUE(),"U1",IF($R142=TRUE(),"U1","W"))))))))</f>
        <v>U1</v>
      </c>
      <c r="U142" s="32" t="str">
        <f aca="false">IF($T142="","",$T142&amp;"-"&amp;COUNTIF($T$3:T142,$T142))</f>
        <v>U1-4</v>
      </c>
      <c r="V142" s="32" t="str">
        <f aca="false">IF($B142="","",_xlfn.TEXTJOIN(" | ",TRUE(),IF($Q142=TRUE(),"Empty box - no physical device, verify status",""),IF(AND($P142=TRUE(),$L142=FALSE(),$M142=FALSE(),$N142=FALSE(),$O142=FALSE(),$Q142=FALSE()),"Speaker fault only - needs manual box assignment",""),IF(AND($R142=TRUE(),$L142=FALSE(),$M142=FALSE(),$N142=FALSE(),$O142=FALSE(),$P142=FALSE(),$Q142=FALSE()),"No fault detail given - needs technician inspection",""),IF(AND(COUNTIF($F$3:$F$252,$F142)&gt;1,LOWER(TRIM($F142))&lt;&gt;"empty"),"Duplicate Serial No - verify device identity",""),IF((--$L142+--$M142+--$N142+--$O142+--$P142)&gt;1,"Multiple fault types detected - review full details before repair","")))</f>
        <v>Speaker fault only - needs manual box assignment</v>
      </c>
      <c r="W142" s="32" t="n">
        <v>0</v>
      </c>
      <c r="X142" s="32"/>
    </row>
    <row r="143" customFormat="false" ht="15" hidden="false" customHeight="true" outlineLevel="0" collapsed="false">
      <c r="A143" s="26" t="n">
        <v>141</v>
      </c>
      <c r="B143" s="30" t="n">
        <v>46244.5663844213</v>
      </c>
      <c r="C143" s="26" t="s">
        <v>90</v>
      </c>
      <c r="D143" s="26" t="str">
        <f aca="false">IF($B143="","",IFERROR(VLOOKUP(TRIM($C143),ModelMap,2,FALSE()),TRIM($C143)))</f>
        <v>X628</v>
      </c>
      <c r="E143" s="26" t="s">
        <v>445</v>
      </c>
      <c r="F143" s="26" t="s">
        <v>446</v>
      </c>
      <c r="G143" s="26" t="s">
        <v>132</v>
      </c>
      <c r="H143" s="26"/>
      <c r="I143" s="26" t="s">
        <v>164</v>
      </c>
      <c r="J143" s="26" t="s">
        <v>129</v>
      </c>
      <c r="K143" s="26" t="str">
        <f aca="false">IF($B143="","",LOWER(TRIM($G143)&amp;" | "&amp;TRIM($H143)&amp;" | "&amp;TRIM($I143)))</f>
        <v>working |  | display is not clear</v>
      </c>
      <c r="L143" s="31" t="b">
        <f aca="false">IF($B143="","",SUMPRODUCT(--ISNUMBER(SEARCH(SensorKW,$K143)))&gt;0)</f>
        <v>0</v>
      </c>
      <c r="M143" s="31" t="b">
        <f aca="false">IF($B143="","",SUMPRODUCT(--ISNUMBER(SEARCH(DisplayKW,$K143)))&gt;0)</f>
        <v>1</v>
      </c>
      <c r="N143" s="31" t="b">
        <f aca="false">IF($B143="","",SUMPRODUCT(--ISNUMBER(SEARCH(KeypadKW,$K143)))&gt;0)</f>
        <v>0</v>
      </c>
      <c r="O143" s="31" t="b">
        <f aca="false">IF($B143="","",SUMPRODUCT(--ISNUMBER(SEARCH(PowerKW,$K143)))&gt;0)</f>
        <v>0</v>
      </c>
      <c r="P143" s="31" t="b">
        <f aca="false">IF($B143="","",SUMPRODUCT(--ISNUMBER(SEARCH(SpeakerKW,$K143)))&gt;0)</f>
        <v>0</v>
      </c>
      <c r="Q143" s="31" t="b">
        <f aca="false">IF($B143="","",OR(SUMPRODUCT(--ISNUMBER(SEARCH(EmptyKW,$K143)))&gt;0,LOWER(TRIM($F143))="empty"))</f>
        <v>0</v>
      </c>
      <c r="R143" s="31" t="b">
        <f aca="false">IF($B143="","",OR(ISNUMBER(SEARCH("repair",$G143)),ISNUMBER(SEARCH("not working",$G143))))</f>
        <v>0</v>
      </c>
      <c r="S143" s="26" t="n">
        <f aca="false">IF(AND($B143&lt;&gt;"",$M143=TRUE(),$L143=FALSE(),$Q143=FALSE()),COUNTIFS($M$3:$M143,TRUE(),$L$3:$L143,FALSE(),$Q$3:$Q143,FALSE()),"")</f>
        <v>26</v>
      </c>
      <c r="T143" s="26" t="str">
        <f aca="false">IF($B143="","",IF($Q143=TRUE(),"U1",IF($L143=TRUE(),"S1",IF($M143=TRUE(),"D"&amp;MIN(4,INT(($S143-1)/DisplayCapacity)+1),IF($N143=TRUE(),"K1",IF($O143=TRUE(),"P1",IF($P143=TRUE(),"U1",IF($R143=TRUE(),"U1","W"))))))))</f>
        <v>D4</v>
      </c>
      <c r="U143" s="26" t="str">
        <f aca="false">IF($T143="","",$T143&amp;"-"&amp;COUNTIF($T$3:T143,$T143))</f>
        <v>D4-5</v>
      </c>
      <c r="V143" s="26" t="str">
        <f aca="false">IF($B143="","",_xlfn.TEXTJOIN(" | ",TRUE(),IF($Q143=TRUE(),"Empty box - no physical device, verify status",""),IF(AND($P143=TRUE(),$L143=FALSE(),$M143=FALSE(),$N143=FALSE(),$O143=FALSE(),$Q143=FALSE()),"Speaker fault only - needs manual box assignment",""),IF(AND($R143=TRUE(),$L143=FALSE(),$M143=FALSE(),$N143=FALSE(),$O143=FALSE(),$P143=FALSE(),$Q143=FALSE()),"No fault detail given - needs technician inspection",""),IF(AND(COUNTIF($F$3:$F$252,$F143)&gt;1,LOWER(TRIM($F143))&lt;&gt;"empty"),"Duplicate Serial No - verify device identity",""),IF((--$L143+--$M143+--$N143+--$O143+--$P143)&gt;1,"Multiple fault types detected - review full details before repair","")))</f>
        <v/>
      </c>
      <c r="W143" s="26" t="n">
        <v>0</v>
      </c>
      <c r="X143" s="26"/>
    </row>
    <row r="144" customFormat="false" ht="15" hidden="false" customHeight="true" outlineLevel="0" collapsed="false">
      <c r="A144" s="32" t="n">
        <v>142</v>
      </c>
      <c r="B144" s="33" t="n">
        <v>46244.5800023611</v>
      </c>
      <c r="C144" s="32" t="s">
        <v>90</v>
      </c>
      <c r="D144" s="32" t="str">
        <f aca="false">IF($B144="","",IFERROR(VLOOKUP(TRIM($C144),ModelMap,2,FALSE()),TRIM($C144)))</f>
        <v>X628</v>
      </c>
      <c r="E144" s="32" t="s">
        <v>447</v>
      </c>
      <c r="F144" s="32" t="s">
        <v>448</v>
      </c>
      <c r="G144" s="32" t="s">
        <v>132</v>
      </c>
      <c r="H144" s="32"/>
      <c r="I144" s="32"/>
      <c r="J144" s="32" t="s">
        <v>129</v>
      </c>
      <c r="K144" s="32" t="str">
        <f aca="false">IF($B144="","",LOWER(TRIM($G144)&amp;" | "&amp;TRIM($H144)&amp;" | "&amp;TRIM($I144)))</f>
        <v>working |  | </v>
      </c>
      <c r="L144" s="34" t="b">
        <f aca="false">IF($B144="","",SUMPRODUCT(--ISNUMBER(SEARCH(SensorKW,$K144)))&gt;0)</f>
        <v>0</v>
      </c>
      <c r="M144" s="34" t="b">
        <f aca="false">IF($B144="","",SUMPRODUCT(--ISNUMBER(SEARCH(DisplayKW,$K144)))&gt;0)</f>
        <v>0</v>
      </c>
      <c r="N144" s="34" t="b">
        <f aca="false">IF($B144="","",SUMPRODUCT(--ISNUMBER(SEARCH(KeypadKW,$K144)))&gt;0)</f>
        <v>0</v>
      </c>
      <c r="O144" s="34" t="b">
        <f aca="false">IF($B144="","",SUMPRODUCT(--ISNUMBER(SEARCH(PowerKW,$K144)))&gt;0)</f>
        <v>0</v>
      </c>
      <c r="P144" s="34" t="b">
        <f aca="false">IF($B144="","",SUMPRODUCT(--ISNUMBER(SEARCH(SpeakerKW,$K144)))&gt;0)</f>
        <v>0</v>
      </c>
      <c r="Q144" s="34" t="b">
        <f aca="false">IF($B144="","",OR(SUMPRODUCT(--ISNUMBER(SEARCH(EmptyKW,$K144)))&gt;0,LOWER(TRIM($F144))="empty"))</f>
        <v>0</v>
      </c>
      <c r="R144" s="34" t="b">
        <f aca="false">IF($B144="","",OR(ISNUMBER(SEARCH("repair",$G144)),ISNUMBER(SEARCH("not working",$G144))))</f>
        <v>0</v>
      </c>
      <c r="S144" s="32" t="str">
        <f aca="false">IF(AND($B144&lt;&gt;"",$M144=TRUE(),$L144=FALSE(),$Q144=FALSE()),COUNTIFS($M$3:$M144,TRUE(),$L$3:$L144,FALSE(),$Q$3:$Q144,FALSE()),"")</f>
        <v/>
      </c>
      <c r="T144" s="32" t="str">
        <f aca="false">IF($B144="","",IF($Q144=TRUE(),"U1",IF($L144=TRUE(),"S1",IF($M144=TRUE(),"D"&amp;MIN(4,INT(($S144-1)/DisplayCapacity)+1),IF($N144=TRUE(),"K1",IF($O144=TRUE(),"P1",IF($P144=TRUE(),"U1",IF($R144=TRUE(),"U1","W"))))))))</f>
        <v>W</v>
      </c>
      <c r="U144" s="32" t="str">
        <f aca="false">IF($T144="","",$T144&amp;"-"&amp;COUNTIF($T$3:T144,$T144))</f>
        <v>W-79</v>
      </c>
      <c r="V144" s="32" t="str">
        <f aca="false">IF($B144="","",_xlfn.TEXTJOIN(" | ",TRUE(),IF($Q144=TRUE(),"Empty box - no physical device, verify status",""),IF(AND($P144=TRUE(),$L144=FALSE(),$M144=FALSE(),$N144=FALSE(),$O144=FALSE(),$Q144=FALSE()),"Speaker fault only - needs manual box assignment",""),IF(AND($R144=TRUE(),$L144=FALSE(),$M144=FALSE(),$N144=FALSE(),$O144=FALSE(),$P144=FALSE(),$Q144=FALSE()),"No fault detail given - needs technician inspection",""),IF(AND(COUNTIF($F$3:$F$252,$F144)&gt;1,LOWER(TRIM($F144))&lt;&gt;"empty"),"Duplicate Serial No - verify device identity",""),IF((--$L144+--$M144+--$N144+--$O144+--$P144)&gt;1,"Multiple fault types detected - review full details before repair","")))</f>
        <v/>
      </c>
      <c r="W144" s="32" t="n">
        <v>0</v>
      </c>
      <c r="X144" s="32"/>
    </row>
    <row r="145" customFormat="false" ht="15" hidden="false" customHeight="true" outlineLevel="0" collapsed="false">
      <c r="A145" s="26" t="n">
        <v>143</v>
      </c>
      <c r="B145" s="30" t="n">
        <v>46244.5891168982</v>
      </c>
      <c r="C145" s="26" t="s">
        <v>90</v>
      </c>
      <c r="D145" s="26" t="str">
        <f aca="false">IF($B145="","",IFERROR(VLOOKUP(TRIM($C145),ModelMap,2,FALSE()),TRIM($C145)))</f>
        <v>X628</v>
      </c>
      <c r="E145" s="26" t="s">
        <v>449</v>
      </c>
      <c r="F145" s="26" t="s">
        <v>450</v>
      </c>
      <c r="G145" s="26" t="s">
        <v>132</v>
      </c>
      <c r="H145" s="26"/>
      <c r="I145" s="26"/>
      <c r="J145" s="26" t="s">
        <v>129</v>
      </c>
      <c r="K145" s="26" t="str">
        <f aca="false">IF($B145="","",LOWER(TRIM($G145)&amp;" | "&amp;TRIM($H145)&amp;" | "&amp;TRIM($I145)))</f>
        <v>working |  | </v>
      </c>
      <c r="L145" s="31" t="b">
        <f aca="false">IF($B145="","",SUMPRODUCT(--ISNUMBER(SEARCH(SensorKW,$K145)))&gt;0)</f>
        <v>0</v>
      </c>
      <c r="M145" s="31" t="b">
        <f aca="false">IF($B145="","",SUMPRODUCT(--ISNUMBER(SEARCH(DisplayKW,$K145)))&gt;0)</f>
        <v>0</v>
      </c>
      <c r="N145" s="31" t="b">
        <f aca="false">IF($B145="","",SUMPRODUCT(--ISNUMBER(SEARCH(KeypadKW,$K145)))&gt;0)</f>
        <v>0</v>
      </c>
      <c r="O145" s="31" t="b">
        <f aca="false">IF($B145="","",SUMPRODUCT(--ISNUMBER(SEARCH(PowerKW,$K145)))&gt;0)</f>
        <v>0</v>
      </c>
      <c r="P145" s="31" t="b">
        <f aca="false">IF($B145="","",SUMPRODUCT(--ISNUMBER(SEARCH(SpeakerKW,$K145)))&gt;0)</f>
        <v>0</v>
      </c>
      <c r="Q145" s="31" t="b">
        <f aca="false">IF($B145="","",OR(SUMPRODUCT(--ISNUMBER(SEARCH(EmptyKW,$K145)))&gt;0,LOWER(TRIM($F145))="empty"))</f>
        <v>0</v>
      </c>
      <c r="R145" s="31" t="b">
        <f aca="false">IF($B145="","",OR(ISNUMBER(SEARCH("repair",$G145)),ISNUMBER(SEARCH("not working",$G145))))</f>
        <v>0</v>
      </c>
      <c r="S145" s="26" t="str">
        <f aca="false">IF(AND($B145&lt;&gt;"",$M145=TRUE(),$L145=FALSE(),$Q145=FALSE()),COUNTIFS($M$3:$M145,TRUE(),$L$3:$L145,FALSE(),$Q$3:$Q145,FALSE()),"")</f>
        <v/>
      </c>
      <c r="T145" s="26" t="str">
        <f aca="false">IF($B145="","",IF($Q145=TRUE(),"U1",IF($L145=TRUE(),"S1",IF($M145=TRUE(),"D"&amp;MIN(4,INT(($S145-1)/DisplayCapacity)+1),IF($N145=TRUE(),"K1",IF($O145=TRUE(),"P1",IF($P145=TRUE(),"U1",IF($R145=TRUE(),"U1","W"))))))))</f>
        <v>W</v>
      </c>
      <c r="U145" s="26" t="str">
        <f aca="false">IF($T145="","",$T145&amp;"-"&amp;COUNTIF($T$3:T145,$T145))</f>
        <v>W-80</v>
      </c>
      <c r="V145" s="26" t="str">
        <f aca="false">IF($B145="","",_xlfn.TEXTJOIN(" | ",TRUE(),IF($Q145=TRUE(),"Empty box - no physical device, verify status",""),IF(AND($P145=TRUE(),$L145=FALSE(),$M145=FALSE(),$N145=FALSE(),$O145=FALSE(),$Q145=FALSE()),"Speaker fault only - needs manual box assignment",""),IF(AND($R145=TRUE(),$L145=FALSE(),$M145=FALSE(),$N145=FALSE(),$O145=FALSE(),$P145=FALSE(),$Q145=FALSE()),"No fault detail given - needs technician inspection",""),IF(AND(COUNTIF($F$3:$F$252,$F145)&gt;1,LOWER(TRIM($F145))&lt;&gt;"empty"),"Duplicate Serial No - verify device identity",""),IF((--$L145+--$M145+--$N145+--$O145+--$P145)&gt;1,"Multiple fault types detected - review full details before repair","")))</f>
        <v/>
      </c>
      <c r="W145" s="26" t="n">
        <v>0</v>
      </c>
      <c r="X145" s="26"/>
    </row>
    <row r="146" customFormat="false" ht="15" hidden="false" customHeight="true" outlineLevel="0" collapsed="false">
      <c r="A146" s="32" t="n">
        <v>144</v>
      </c>
      <c r="B146" s="33" t="n">
        <v>46244.5904524306</v>
      </c>
      <c r="C146" s="32" t="s">
        <v>90</v>
      </c>
      <c r="D146" s="32" t="str">
        <f aca="false">IF($B146="","",IFERROR(VLOOKUP(TRIM($C146),ModelMap,2,FALSE()),TRIM($C146)))</f>
        <v>X628</v>
      </c>
      <c r="E146" s="32" t="s">
        <v>451</v>
      </c>
      <c r="F146" s="32" t="s">
        <v>452</v>
      </c>
      <c r="G146" s="32" t="s">
        <v>132</v>
      </c>
      <c r="H146" s="32"/>
      <c r="I146" s="32" t="s">
        <v>332</v>
      </c>
      <c r="J146" s="32" t="s">
        <v>129</v>
      </c>
      <c r="K146" s="32" t="str">
        <f aca="false">IF($B146="","",LOWER(TRIM($G146)&amp;" | "&amp;TRIM($H146)&amp;" | "&amp;TRIM($I146)))</f>
        <v>working |  | display is little bit un clear</v>
      </c>
      <c r="L146" s="34" t="b">
        <f aca="false">IF($B146="","",SUMPRODUCT(--ISNUMBER(SEARCH(SensorKW,$K146)))&gt;0)</f>
        <v>0</v>
      </c>
      <c r="M146" s="34" t="b">
        <f aca="false">IF($B146="","",SUMPRODUCT(--ISNUMBER(SEARCH(DisplayKW,$K146)))&gt;0)</f>
        <v>1</v>
      </c>
      <c r="N146" s="34" t="b">
        <f aca="false">IF($B146="","",SUMPRODUCT(--ISNUMBER(SEARCH(KeypadKW,$K146)))&gt;0)</f>
        <v>0</v>
      </c>
      <c r="O146" s="34" t="b">
        <f aca="false">IF($B146="","",SUMPRODUCT(--ISNUMBER(SEARCH(PowerKW,$K146)))&gt;0)</f>
        <v>0</v>
      </c>
      <c r="P146" s="34" t="b">
        <f aca="false">IF($B146="","",SUMPRODUCT(--ISNUMBER(SEARCH(SpeakerKW,$K146)))&gt;0)</f>
        <v>0</v>
      </c>
      <c r="Q146" s="34" t="b">
        <f aca="false">IF($B146="","",OR(SUMPRODUCT(--ISNUMBER(SEARCH(EmptyKW,$K146)))&gt;0,LOWER(TRIM($F146))="empty"))</f>
        <v>0</v>
      </c>
      <c r="R146" s="34" t="b">
        <f aca="false">IF($B146="","",OR(ISNUMBER(SEARCH("repair",$G146)),ISNUMBER(SEARCH("not working",$G146))))</f>
        <v>0</v>
      </c>
      <c r="S146" s="32" t="n">
        <f aca="false">IF(AND($B146&lt;&gt;"",$M146=TRUE(),$L146=FALSE(),$Q146=FALSE()),COUNTIFS($M$3:$M146,TRUE(),$L$3:$L146,FALSE(),$Q$3:$Q146,FALSE()),"")</f>
        <v>27</v>
      </c>
      <c r="T146" s="32" t="str">
        <f aca="false">IF($B146="","",IF($Q146=TRUE(),"U1",IF($L146=TRUE(),"S1",IF($M146=TRUE(),"D"&amp;MIN(4,INT(($S146-1)/DisplayCapacity)+1),IF($N146=TRUE(),"K1",IF($O146=TRUE(),"P1",IF($P146=TRUE(),"U1",IF($R146=TRUE(),"U1","W"))))))))</f>
        <v>D4</v>
      </c>
      <c r="U146" s="32" t="str">
        <f aca="false">IF($T146="","",$T146&amp;"-"&amp;COUNTIF($T$3:T146,$T146))</f>
        <v>D4-6</v>
      </c>
      <c r="V146" s="32" t="str">
        <f aca="false">IF($B146="","",_xlfn.TEXTJOIN(" | ",TRUE(),IF($Q146=TRUE(),"Empty box - no physical device, verify status",""),IF(AND($P146=TRUE(),$L146=FALSE(),$M146=FALSE(),$N146=FALSE(),$O146=FALSE(),$Q146=FALSE()),"Speaker fault only - needs manual box assignment",""),IF(AND($R146=TRUE(),$L146=FALSE(),$M146=FALSE(),$N146=FALSE(),$O146=FALSE(),$P146=FALSE(),$Q146=FALSE()),"No fault detail given - needs technician inspection",""),IF(AND(COUNTIF($F$3:$F$252,$F146)&gt;1,LOWER(TRIM($F146))&lt;&gt;"empty"),"Duplicate Serial No - verify device identity",""),IF((--$L146+--$M146+--$N146+--$O146+--$P146)&gt;1,"Multiple fault types detected - review full details before repair","")))</f>
        <v/>
      </c>
      <c r="W146" s="32" t="n">
        <v>0</v>
      </c>
      <c r="X146" s="32"/>
    </row>
    <row r="147" customFormat="false" ht="15" hidden="false" customHeight="true" outlineLevel="0" collapsed="false">
      <c r="A147" s="36" t="str">
        <f aca="false">IF($B147="","",145)</f>
        <v/>
      </c>
      <c r="B147" s="37"/>
      <c r="C147" s="36"/>
      <c r="D147" s="36" t="str">
        <f aca="false">IF($B147="","",IFERROR(VLOOKUP(TRIM($C147),ModelMap,2,FALSE()),TRIM($C147)))</f>
        <v/>
      </c>
      <c r="E147" s="36"/>
      <c r="F147" s="36"/>
      <c r="G147" s="36"/>
      <c r="H147" s="36"/>
      <c r="I147" s="36"/>
      <c r="J147" s="36"/>
      <c r="K147" s="36" t="str">
        <f aca="false">IF($B147="","",LOWER(TRIM($G147)&amp;" | "&amp;TRIM($H147)&amp;" | "&amp;TRIM($I147)))</f>
        <v/>
      </c>
      <c r="L147" s="36" t="str">
        <f aca="false">IF($B147="","",SUMPRODUCT(--ISNUMBER(SEARCH(SensorKW,$K147)))&gt;0)</f>
        <v/>
      </c>
      <c r="M147" s="36" t="str">
        <f aca="false">IF($B147="","",SUMPRODUCT(--ISNUMBER(SEARCH(DisplayKW,$K147)))&gt;0)</f>
        <v/>
      </c>
      <c r="N147" s="36" t="str">
        <f aca="false">IF($B147="","",SUMPRODUCT(--ISNUMBER(SEARCH(KeypadKW,$K147)))&gt;0)</f>
        <v/>
      </c>
      <c r="O147" s="36" t="str">
        <f aca="false">IF($B147="","",SUMPRODUCT(--ISNUMBER(SEARCH(PowerKW,$K147)))&gt;0)</f>
        <v/>
      </c>
      <c r="P147" s="36" t="str">
        <f aca="false">IF($B147="","",SUMPRODUCT(--ISNUMBER(SEARCH(SpeakerKW,$K147)))&gt;0)</f>
        <v/>
      </c>
      <c r="Q147" s="36" t="str">
        <f aca="false">IF($B147="","",OR(SUMPRODUCT(--ISNUMBER(SEARCH(EmptyKW,$K147)))&gt;0,LOWER(TRIM($F147))="empty"))</f>
        <v/>
      </c>
      <c r="R147" s="36" t="str">
        <f aca="false">IF($B147="","",OR(ISNUMBER(SEARCH("repair",$G147)),ISNUMBER(SEARCH("not working",$G147))))</f>
        <v/>
      </c>
      <c r="S147" s="36" t="str">
        <f aca="false">IF(AND($B147&lt;&gt;"",$M147=TRUE(),$L147=FALSE(),$Q147=FALSE()),COUNTIFS($M$3:$M147,TRUE(),$L$3:$L147,FALSE(),$Q$3:$Q147,FALSE()),"")</f>
        <v/>
      </c>
      <c r="T147" s="36" t="str">
        <f aca="false">IF($B147="","",IF($Q147=TRUE(),"U1",IF($L147=TRUE(),"S1",IF($M147=TRUE(),"D"&amp;MIN(4,INT(($S147-1)/DisplayCapacity)+1),IF($N147=TRUE(),"K1",IF($O147=TRUE(),"P1",IF($P147=TRUE(),"U1",IF($R147=TRUE(),"U1","W"))))))))</f>
        <v/>
      </c>
      <c r="U147" s="36" t="str">
        <f aca="false">IF($T147="","",$T147&amp;"-"&amp;COUNTIF($T$3:T147,$T147))</f>
        <v/>
      </c>
      <c r="V147" s="36" t="str">
        <f aca="false">IF($B147="","",_xlfn.TEXTJOIN(" | ",TRUE(),IF($Q147=TRUE(),"Empty box - no physical device, verify status",""),IF(AND($P147=TRUE(),$L147=FALSE(),$M147=FALSE(),$N147=FALSE(),$O147=FALSE(),$Q147=FALSE()),"Speaker fault only - needs manual box assignment",""),IF(AND($R147=TRUE(),$L147=FALSE(),$M147=FALSE(),$N147=FALSE(),$O147=FALSE(),$P147=FALSE(),$Q147=FALSE()),"No fault detail given - needs technician inspection",""),IF(AND(COUNTIF($F$3:$F$252,$F147)&gt;1,LOWER(TRIM($F147))&lt;&gt;"empty"),"Duplicate Serial No - verify device identity",""),IF((--$L147+--$M147+--$N147+--$O147+--$P147)&gt;1,"Multiple fault types detected - review full details before repair","")))</f>
        <v/>
      </c>
      <c r="W147" s="36"/>
      <c r="X147" s="36"/>
    </row>
    <row r="148" customFormat="false" ht="15" hidden="false" customHeight="true" outlineLevel="0" collapsed="false">
      <c r="A148" s="36" t="str">
        <f aca="false">IF($B148="","",146)</f>
        <v/>
      </c>
      <c r="B148" s="37"/>
      <c r="C148" s="36"/>
      <c r="D148" s="36" t="str">
        <f aca="false">IF($B148="","",IFERROR(VLOOKUP(TRIM($C148),ModelMap,2,FALSE()),TRIM($C148)))</f>
        <v/>
      </c>
      <c r="E148" s="36"/>
      <c r="F148" s="36"/>
      <c r="G148" s="36"/>
      <c r="H148" s="36"/>
      <c r="I148" s="36"/>
      <c r="J148" s="36"/>
      <c r="K148" s="36" t="str">
        <f aca="false">IF($B148="","",LOWER(TRIM($G148)&amp;" | "&amp;TRIM($H148)&amp;" | "&amp;TRIM($I148)))</f>
        <v/>
      </c>
      <c r="L148" s="36" t="str">
        <f aca="false">IF($B148="","",SUMPRODUCT(--ISNUMBER(SEARCH(SensorKW,$K148)))&gt;0)</f>
        <v/>
      </c>
      <c r="M148" s="36" t="str">
        <f aca="false">IF($B148="","",SUMPRODUCT(--ISNUMBER(SEARCH(DisplayKW,$K148)))&gt;0)</f>
        <v/>
      </c>
      <c r="N148" s="36" t="str">
        <f aca="false">IF($B148="","",SUMPRODUCT(--ISNUMBER(SEARCH(KeypadKW,$K148)))&gt;0)</f>
        <v/>
      </c>
      <c r="O148" s="36" t="str">
        <f aca="false">IF($B148="","",SUMPRODUCT(--ISNUMBER(SEARCH(PowerKW,$K148)))&gt;0)</f>
        <v/>
      </c>
      <c r="P148" s="36" t="str">
        <f aca="false">IF($B148="","",SUMPRODUCT(--ISNUMBER(SEARCH(SpeakerKW,$K148)))&gt;0)</f>
        <v/>
      </c>
      <c r="Q148" s="36" t="str">
        <f aca="false">IF($B148="","",OR(SUMPRODUCT(--ISNUMBER(SEARCH(EmptyKW,$K148)))&gt;0,LOWER(TRIM($F148))="empty"))</f>
        <v/>
      </c>
      <c r="R148" s="36" t="str">
        <f aca="false">IF($B148="","",OR(ISNUMBER(SEARCH("repair",$G148)),ISNUMBER(SEARCH("not working",$G148))))</f>
        <v/>
      </c>
      <c r="S148" s="36" t="str">
        <f aca="false">IF(AND($B148&lt;&gt;"",$M148=TRUE(),$L148=FALSE(),$Q148=FALSE()),COUNTIFS($M$3:$M148,TRUE(),$L$3:$L148,FALSE(),$Q$3:$Q148,FALSE()),"")</f>
        <v/>
      </c>
      <c r="T148" s="36" t="str">
        <f aca="false">IF($B148="","",IF($Q148=TRUE(),"U1",IF($L148=TRUE(),"S1",IF($M148=TRUE(),"D"&amp;MIN(4,INT(($S148-1)/DisplayCapacity)+1),IF($N148=TRUE(),"K1",IF($O148=TRUE(),"P1",IF($P148=TRUE(),"U1",IF($R148=TRUE(),"U1","W"))))))))</f>
        <v/>
      </c>
      <c r="U148" s="36" t="str">
        <f aca="false">IF($T148="","",$T148&amp;"-"&amp;COUNTIF($T$3:T148,$T148))</f>
        <v/>
      </c>
      <c r="V148" s="36" t="str">
        <f aca="false">IF($B148="","",_xlfn.TEXTJOIN(" | ",TRUE(),IF($Q148=TRUE(),"Empty box - no physical device, verify status",""),IF(AND($P148=TRUE(),$L148=FALSE(),$M148=FALSE(),$N148=FALSE(),$O148=FALSE(),$Q148=FALSE()),"Speaker fault only - needs manual box assignment",""),IF(AND($R148=TRUE(),$L148=FALSE(),$M148=FALSE(),$N148=FALSE(),$O148=FALSE(),$P148=FALSE(),$Q148=FALSE()),"No fault detail given - needs technician inspection",""),IF(AND(COUNTIF($F$3:$F$252,$F148)&gt;1,LOWER(TRIM($F148))&lt;&gt;"empty"),"Duplicate Serial No - verify device identity",""),IF((--$L148+--$M148+--$N148+--$O148+--$P148)&gt;1,"Multiple fault types detected - review full details before repair","")))</f>
        <v/>
      </c>
      <c r="W148" s="36"/>
      <c r="X148" s="36"/>
    </row>
    <row r="149" customFormat="false" ht="15" hidden="false" customHeight="true" outlineLevel="0" collapsed="false">
      <c r="A149" s="36" t="str">
        <f aca="false">IF($B149="","",147)</f>
        <v/>
      </c>
      <c r="B149" s="37"/>
      <c r="C149" s="36"/>
      <c r="D149" s="36" t="str">
        <f aca="false">IF($B149="","",IFERROR(VLOOKUP(TRIM($C149),ModelMap,2,FALSE()),TRIM($C149)))</f>
        <v/>
      </c>
      <c r="E149" s="36"/>
      <c r="F149" s="36"/>
      <c r="G149" s="36"/>
      <c r="H149" s="36"/>
      <c r="I149" s="36"/>
      <c r="J149" s="36"/>
      <c r="K149" s="36" t="str">
        <f aca="false">IF($B149="","",LOWER(TRIM($G149)&amp;" | "&amp;TRIM($H149)&amp;" | "&amp;TRIM($I149)))</f>
        <v/>
      </c>
      <c r="L149" s="36" t="str">
        <f aca="false">IF($B149="","",SUMPRODUCT(--ISNUMBER(SEARCH(SensorKW,$K149)))&gt;0)</f>
        <v/>
      </c>
      <c r="M149" s="36" t="str">
        <f aca="false">IF($B149="","",SUMPRODUCT(--ISNUMBER(SEARCH(DisplayKW,$K149)))&gt;0)</f>
        <v/>
      </c>
      <c r="N149" s="36" t="str">
        <f aca="false">IF($B149="","",SUMPRODUCT(--ISNUMBER(SEARCH(KeypadKW,$K149)))&gt;0)</f>
        <v/>
      </c>
      <c r="O149" s="36" t="str">
        <f aca="false">IF($B149="","",SUMPRODUCT(--ISNUMBER(SEARCH(PowerKW,$K149)))&gt;0)</f>
        <v/>
      </c>
      <c r="P149" s="36" t="str">
        <f aca="false">IF($B149="","",SUMPRODUCT(--ISNUMBER(SEARCH(SpeakerKW,$K149)))&gt;0)</f>
        <v/>
      </c>
      <c r="Q149" s="36" t="str">
        <f aca="false">IF($B149="","",OR(SUMPRODUCT(--ISNUMBER(SEARCH(EmptyKW,$K149)))&gt;0,LOWER(TRIM($F149))="empty"))</f>
        <v/>
      </c>
      <c r="R149" s="36" t="str">
        <f aca="false">IF($B149="","",OR(ISNUMBER(SEARCH("repair",$G149)),ISNUMBER(SEARCH("not working",$G149))))</f>
        <v/>
      </c>
      <c r="S149" s="36" t="str">
        <f aca="false">IF(AND($B149&lt;&gt;"",$M149=TRUE(),$L149=FALSE(),$Q149=FALSE()),COUNTIFS($M$3:$M149,TRUE(),$L$3:$L149,FALSE(),$Q$3:$Q149,FALSE()),"")</f>
        <v/>
      </c>
      <c r="T149" s="36" t="str">
        <f aca="false">IF($B149="","",IF($Q149=TRUE(),"U1",IF($L149=TRUE(),"S1",IF($M149=TRUE(),"D"&amp;MIN(4,INT(($S149-1)/DisplayCapacity)+1),IF($N149=TRUE(),"K1",IF($O149=TRUE(),"P1",IF($P149=TRUE(),"U1",IF($R149=TRUE(),"U1","W"))))))))</f>
        <v/>
      </c>
      <c r="U149" s="36" t="str">
        <f aca="false">IF($T149="","",$T149&amp;"-"&amp;COUNTIF($T$3:T149,$T149))</f>
        <v/>
      </c>
      <c r="V149" s="36" t="str">
        <f aca="false">IF($B149="","",_xlfn.TEXTJOIN(" | ",TRUE(),IF($Q149=TRUE(),"Empty box - no physical device, verify status",""),IF(AND($P149=TRUE(),$L149=FALSE(),$M149=FALSE(),$N149=FALSE(),$O149=FALSE(),$Q149=FALSE()),"Speaker fault only - needs manual box assignment",""),IF(AND($R149=TRUE(),$L149=FALSE(),$M149=FALSE(),$N149=FALSE(),$O149=FALSE(),$P149=FALSE(),$Q149=FALSE()),"No fault detail given - needs technician inspection",""),IF(AND(COUNTIF($F$3:$F$252,$F149)&gt;1,LOWER(TRIM($F149))&lt;&gt;"empty"),"Duplicate Serial No - verify device identity",""),IF((--$L149+--$M149+--$N149+--$O149+--$P149)&gt;1,"Multiple fault types detected - review full details before repair","")))</f>
        <v/>
      </c>
      <c r="W149" s="36"/>
      <c r="X149" s="36"/>
    </row>
    <row r="150" customFormat="false" ht="15" hidden="false" customHeight="true" outlineLevel="0" collapsed="false">
      <c r="A150" s="36" t="str">
        <f aca="false">IF($B150="","",148)</f>
        <v/>
      </c>
      <c r="B150" s="37"/>
      <c r="C150" s="36"/>
      <c r="D150" s="36" t="str">
        <f aca="false">IF($B150="","",IFERROR(VLOOKUP(TRIM($C150),ModelMap,2,FALSE()),TRIM($C150)))</f>
        <v/>
      </c>
      <c r="E150" s="36"/>
      <c r="F150" s="36"/>
      <c r="G150" s="36"/>
      <c r="H150" s="36"/>
      <c r="I150" s="36"/>
      <c r="J150" s="36"/>
      <c r="K150" s="36" t="str">
        <f aca="false">IF($B150="","",LOWER(TRIM($G150)&amp;" | "&amp;TRIM($H150)&amp;" | "&amp;TRIM($I150)))</f>
        <v/>
      </c>
      <c r="L150" s="36" t="str">
        <f aca="false">IF($B150="","",SUMPRODUCT(--ISNUMBER(SEARCH(SensorKW,$K150)))&gt;0)</f>
        <v/>
      </c>
      <c r="M150" s="36" t="str">
        <f aca="false">IF($B150="","",SUMPRODUCT(--ISNUMBER(SEARCH(DisplayKW,$K150)))&gt;0)</f>
        <v/>
      </c>
      <c r="N150" s="36" t="str">
        <f aca="false">IF($B150="","",SUMPRODUCT(--ISNUMBER(SEARCH(KeypadKW,$K150)))&gt;0)</f>
        <v/>
      </c>
      <c r="O150" s="36" t="str">
        <f aca="false">IF($B150="","",SUMPRODUCT(--ISNUMBER(SEARCH(PowerKW,$K150)))&gt;0)</f>
        <v/>
      </c>
      <c r="P150" s="36" t="str">
        <f aca="false">IF($B150="","",SUMPRODUCT(--ISNUMBER(SEARCH(SpeakerKW,$K150)))&gt;0)</f>
        <v/>
      </c>
      <c r="Q150" s="36" t="str">
        <f aca="false">IF($B150="","",OR(SUMPRODUCT(--ISNUMBER(SEARCH(EmptyKW,$K150)))&gt;0,LOWER(TRIM($F150))="empty"))</f>
        <v/>
      </c>
      <c r="R150" s="36" t="str">
        <f aca="false">IF($B150="","",OR(ISNUMBER(SEARCH("repair",$G150)),ISNUMBER(SEARCH("not working",$G150))))</f>
        <v/>
      </c>
      <c r="S150" s="36" t="str">
        <f aca="false">IF(AND($B150&lt;&gt;"",$M150=TRUE(),$L150=FALSE(),$Q150=FALSE()),COUNTIFS($M$3:$M150,TRUE(),$L$3:$L150,FALSE(),$Q$3:$Q150,FALSE()),"")</f>
        <v/>
      </c>
      <c r="T150" s="36" t="str">
        <f aca="false">IF($B150="","",IF($Q150=TRUE(),"U1",IF($L150=TRUE(),"S1",IF($M150=TRUE(),"D"&amp;MIN(4,INT(($S150-1)/DisplayCapacity)+1),IF($N150=TRUE(),"K1",IF($O150=TRUE(),"P1",IF($P150=TRUE(),"U1",IF($R150=TRUE(),"U1","W"))))))))</f>
        <v/>
      </c>
      <c r="U150" s="36" t="str">
        <f aca="false">IF($T150="","",$T150&amp;"-"&amp;COUNTIF($T$3:T150,$T150))</f>
        <v/>
      </c>
      <c r="V150" s="36" t="str">
        <f aca="false">IF($B150="","",_xlfn.TEXTJOIN(" | ",TRUE(),IF($Q150=TRUE(),"Empty box - no physical device, verify status",""),IF(AND($P150=TRUE(),$L150=FALSE(),$M150=FALSE(),$N150=FALSE(),$O150=FALSE(),$Q150=FALSE()),"Speaker fault only - needs manual box assignment",""),IF(AND($R150=TRUE(),$L150=FALSE(),$M150=FALSE(),$N150=FALSE(),$O150=FALSE(),$P150=FALSE(),$Q150=FALSE()),"No fault detail given - needs technician inspection",""),IF(AND(COUNTIF($F$3:$F$252,$F150)&gt;1,LOWER(TRIM($F150))&lt;&gt;"empty"),"Duplicate Serial No - verify device identity",""),IF((--$L150+--$M150+--$N150+--$O150+--$P150)&gt;1,"Multiple fault types detected - review full details before repair","")))</f>
        <v/>
      </c>
      <c r="W150" s="36"/>
      <c r="X150" s="36"/>
    </row>
    <row r="151" customFormat="false" ht="15" hidden="false" customHeight="true" outlineLevel="0" collapsed="false">
      <c r="A151" s="36" t="str">
        <f aca="false">IF($B151="","",149)</f>
        <v/>
      </c>
      <c r="B151" s="37"/>
      <c r="C151" s="36"/>
      <c r="D151" s="36" t="str">
        <f aca="false">IF($B151="","",IFERROR(VLOOKUP(TRIM($C151),ModelMap,2,FALSE()),TRIM($C151)))</f>
        <v/>
      </c>
      <c r="E151" s="36"/>
      <c r="F151" s="36"/>
      <c r="G151" s="36"/>
      <c r="H151" s="36"/>
      <c r="I151" s="36"/>
      <c r="J151" s="36"/>
      <c r="K151" s="36" t="str">
        <f aca="false">IF($B151="","",LOWER(TRIM($G151)&amp;" | "&amp;TRIM($H151)&amp;" | "&amp;TRIM($I151)))</f>
        <v/>
      </c>
      <c r="L151" s="36" t="str">
        <f aca="false">IF($B151="","",SUMPRODUCT(--ISNUMBER(SEARCH(SensorKW,$K151)))&gt;0)</f>
        <v/>
      </c>
      <c r="M151" s="36" t="str">
        <f aca="false">IF($B151="","",SUMPRODUCT(--ISNUMBER(SEARCH(DisplayKW,$K151)))&gt;0)</f>
        <v/>
      </c>
      <c r="N151" s="36" t="str">
        <f aca="false">IF($B151="","",SUMPRODUCT(--ISNUMBER(SEARCH(KeypadKW,$K151)))&gt;0)</f>
        <v/>
      </c>
      <c r="O151" s="36" t="str">
        <f aca="false">IF($B151="","",SUMPRODUCT(--ISNUMBER(SEARCH(PowerKW,$K151)))&gt;0)</f>
        <v/>
      </c>
      <c r="P151" s="36" t="str">
        <f aca="false">IF($B151="","",SUMPRODUCT(--ISNUMBER(SEARCH(SpeakerKW,$K151)))&gt;0)</f>
        <v/>
      </c>
      <c r="Q151" s="36" t="str">
        <f aca="false">IF($B151="","",OR(SUMPRODUCT(--ISNUMBER(SEARCH(EmptyKW,$K151)))&gt;0,LOWER(TRIM($F151))="empty"))</f>
        <v/>
      </c>
      <c r="R151" s="36" t="str">
        <f aca="false">IF($B151="","",OR(ISNUMBER(SEARCH("repair",$G151)),ISNUMBER(SEARCH("not working",$G151))))</f>
        <v/>
      </c>
      <c r="S151" s="36" t="str">
        <f aca="false">IF(AND($B151&lt;&gt;"",$M151=TRUE(),$L151=FALSE(),$Q151=FALSE()),COUNTIFS($M$3:$M151,TRUE(),$L$3:$L151,FALSE(),$Q$3:$Q151,FALSE()),"")</f>
        <v/>
      </c>
      <c r="T151" s="36" t="str">
        <f aca="false">IF($B151="","",IF($Q151=TRUE(),"U1",IF($L151=TRUE(),"S1",IF($M151=TRUE(),"D"&amp;MIN(4,INT(($S151-1)/DisplayCapacity)+1),IF($N151=TRUE(),"K1",IF($O151=TRUE(),"P1",IF($P151=TRUE(),"U1",IF($R151=TRUE(),"U1","W"))))))))</f>
        <v/>
      </c>
      <c r="U151" s="36" t="str">
        <f aca="false">IF($T151="","",$T151&amp;"-"&amp;COUNTIF($T$3:T151,$T151))</f>
        <v/>
      </c>
      <c r="V151" s="36" t="str">
        <f aca="false">IF($B151="","",_xlfn.TEXTJOIN(" | ",TRUE(),IF($Q151=TRUE(),"Empty box - no physical device, verify status",""),IF(AND($P151=TRUE(),$L151=FALSE(),$M151=FALSE(),$N151=FALSE(),$O151=FALSE(),$Q151=FALSE()),"Speaker fault only - needs manual box assignment",""),IF(AND($R151=TRUE(),$L151=FALSE(),$M151=FALSE(),$N151=FALSE(),$O151=FALSE(),$P151=FALSE(),$Q151=FALSE()),"No fault detail given - needs technician inspection",""),IF(AND(COUNTIF($F$3:$F$252,$F151)&gt;1,LOWER(TRIM($F151))&lt;&gt;"empty"),"Duplicate Serial No - verify device identity",""),IF((--$L151+--$M151+--$N151+--$O151+--$P151)&gt;1,"Multiple fault types detected - review full details before repair","")))</f>
        <v/>
      </c>
      <c r="W151" s="36"/>
      <c r="X151" s="36"/>
    </row>
    <row r="152" customFormat="false" ht="15" hidden="false" customHeight="true" outlineLevel="0" collapsed="false">
      <c r="A152" s="36" t="str">
        <f aca="false">IF($B152="","",150)</f>
        <v/>
      </c>
      <c r="B152" s="37"/>
      <c r="C152" s="36"/>
      <c r="D152" s="36" t="str">
        <f aca="false">IF($B152="","",IFERROR(VLOOKUP(TRIM($C152),ModelMap,2,FALSE()),TRIM($C152)))</f>
        <v/>
      </c>
      <c r="E152" s="36"/>
      <c r="F152" s="36"/>
      <c r="G152" s="36"/>
      <c r="H152" s="36"/>
      <c r="I152" s="36"/>
      <c r="J152" s="36"/>
      <c r="K152" s="36" t="str">
        <f aca="false">IF($B152="","",LOWER(TRIM($G152)&amp;" | "&amp;TRIM($H152)&amp;" | "&amp;TRIM($I152)))</f>
        <v/>
      </c>
      <c r="L152" s="36" t="str">
        <f aca="false">IF($B152="","",SUMPRODUCT(--ISNUMBER(SEARCH(SensorKW,$K152)))&gt;0)</f>
        <v/>
      </c>
      <c r="M152" s="36" t="str">
        <f aca="false">IF($B152="","",SUMPRODUCT(--ISNUMBER(SEARCH(DisplayKW,$K152)))&gt;0)</f>
        <v/>
      </c>
      <c r="N152" s="36" t="str">
        <f aca="false">IF($B152="","",SUMPRODUCT(--ISNUMBER(SEARCH(KeypadKW,$K152)))&gt;0)</f>
        <v/>
      </c>
      <c r="O152" s="36" t="str">
        <f aca="false">IF($B152="","",SUMPRODUCT(--ISNUMBER(SEARCH(PowerKW,$K152)))&gt;0)</f>
        <v/>
      </c>
      <c r="P152" s="36" t="str">
        <f aca="false">IF($B152="","",SUMPRODUCT(--ISNUMBER(SEARCH(SpeakerKW,$K152)))&gt;0)</f>
        <v/>
      </c>
      <c r="Q152" s="36" t="str">
        <f aca="false">IF($B152="","",OR(SUMPRODUCT(--ISNUMBER(SEARCH(EmptyKW,$K152)))&gt;0,LOWER(TRIM($F152))="empty"))</f>
        <v/>
      </c>
      <c r="R152" s="36" t="str">
        <f aca="false">IF($B152="","",OR(ISNUMBER(SEARCH("repair",$G152)),ISNUMBER(SEARCH("not working",$G152))))</f>
        <v/>
      </c>
      <c r="S152" s="36" t="str">
        <f aca="false">IF(AND($B152&lt;&gt;"",$M152=TRUE(),$L152=FALSE(),$Q152=FALSE()),COUNTIFS($M$3:$M152,TRUE(),$L$3:$L152,FALSE(),$Q$3:$Q152,FALSE()),"")</f>
        <v/>
      </c>
      <c r="T152" s="36" t="str">
        <f aca="false">IF($B152="","",IF($Q152=TRUE(),"U1",IF($L152=TRUE(),"S1",IF($M152=TRUE(),"D"&amp;MIN(4,INT(($S152-1)/DisplayCapacity)+1),IF($N152=TRUE(),"K1",IF($O152=TRUE(),"P1",IF($P152=TRUE(),"U1",IF($R152=TRUE(),"U1","W"))))))))</f>
        <v/>
      </c>
      <c r="U152" s="36" t="str">
        <f aca="false">IF($T152="","",$T152&amp;"-"&amp;COUNTIF($T$3:T152,$T152))</f>
        <v/>
      </c>
      <c r="V152" s="36" t="str">
        <f aca="false">IF($B152="","",_xlfn.TEXTJOIN(" | ",TRUE(),IF($Q152=TRUE(),"Empty box - no physical device, verify status",""),IF(AND($P152=TRUE(),$L152=FALSE(),$M152=FALSE(),$N152=FALSE(),$O152=FALSE(),$Q152=FALSE()),"Speaker fault only - needs manual box assignment",""),IF(AND($R152=TRUE(),$L152=FALSE(),$M152=FALSE(),$N152=FALSE(),$O152=FALSE(),$P152=FALSE(),$Q152=FALSE()),"No fault detail given - needs technician inspection",""),IF(AND(COUNTIF($F$3:$F$252,$F152)&gt;1,LOWER(TRIM($F152))&lt;&gt;"empty"),"Duplicate Serial No - verify device identity",""),IF((--$L152+--$M152+--$N152+--$O152+--$P152)&gt;1,"Multiple fault types detected - review full details before repair","")))</f>
        <v/>
      </c>
      <c r="W152" s="36"/>
      <c r="X152" s="36"/>
    </row>
    <row r="153" customFormat="false" ht="15" hidden="false" customHeight="true" outlineLevel="0" collapsed="false">
      <c r="A153" s="36" t="str">
        <f aca="false">IF($B153="","",151)</f>
        <v/>
      </c>
      <c r="B153" s="37"/>
      <c r="C153" s="36"/>
      <c r="D153" s="36" t="str">
        <f aca="false">IF($B153="","",IFERROR(VLOOKUP(TRIM($C153),ModelMap,2,FALSE()),TRIM($C153)))</f>
        <v/>
      </c>
      <c r="E153" s="36"/>
      <c r="F153" s="36"/>
      <c r="G153" s="36"/>
      <c r="H153" s="36"/>
      <c r="I153" s="36"/>
      <c r="J153" s="36"/>
      <c r="K153" s="36" t="str">
        <f aca="false">IF($B153="","",LOWER(TRIM($G153)&amp;" | "&amp;TRIM($H153)&amp;" | "&amp;TRIM($I153)))</f>
        <v/>
      </c>
      <c r="L153" s="36" t="str">
        <f aca="false">IF($B153="","",SUMPRODUCT(--ISNUMBER(SEARCH(SensorKW,$K153)))&gt;0)</f>
        <v/>
      </c>
      <c r="M153" s="36" t="str">
        <f aca="false">IF($B153="","",SUMPRODUCT(--ISNUMBER(SEARCH(DisplayKW,$K153)))&gt;0)</f>
        <v/>
      </c>
      <c r="N153" s="36" t="str">
        <f aca="false">IF($B153="","",SUMPRODUCT(--ISNUMBER(SEARCH(KeypadKW,$K153)))&gt;0)</f>
        <v/>
      </c>
      <c r="O153" s="36" t="str">
        <f aca="false">IF($B153="","",SUMPRODUCT(--ISNUMBER(SEARCH(PowerKW,$K153)))&gt;0)</f>
        <v/>
      </c>
      <c r="P153" s="36" t="str">
        <f aca="false">IF($B153="","",SUMPRODUCT(--ISNUMBER(SEARCH(SpeakerKW,$K153)))&gt;0)</f>
        <v/>
      </c>
      <c r="Q153" s="36" t="str">
        <f aca="false">IF($B153="","",OR(SUMPRODUCT(--ISNUMBER(SEARCH(EmptyKW,$K153)))&gt;0,LOWER(TRIM($F153))="empty"))</f>
        <v/>
      </c>
      <c r="R153" s="36" t="str">
        <f aca="false">IF($B153="","",OR(ISNUMBER(SEARCH("repair",$G153)),ISNUMBER(SEARCH("not working",$G153))))</f>
        <v/>
      </c>
      <c r="S153" s="36" t="str">
        <f aca="false">IF(AND($B153&lt;&gt;"",$M153=TRUE(),$L153=FALSE(),$Q153=FALSE()),COUNTIFS($M$3:$M153,TRUE(),$L$3:$L153,FALSE(),$Q$3:$Q153,FALSE()),"")</f>
        <v/>
      </c>
      <c r="T153" s="36" t="str">
        <f aca="false">IF($B153="","",IF($Q153=TRUE(),"U1",IF($L153=TRUE(),"S1",IF($M153=TRUE(),"D"&amp;MIN(4,INT(($S153-1)/DisplayCapacity)+1),IF($N153=TRUE(),"K1",IF($O153=TRUE(),"P1",IF($P153=TRUE(),"U1",IF($R153=TRUE(),"U1","W"))))))))</f>
        <v/>
      </c>
      <c r="U153" s="36" t="str">
        <f aca="false">IF($T153="","",$T153&amp;"-"&amp;COUNTIF($T$3:T153,$T153))</f>
        <v/>
      </c>
      <c r="V153" s="36" t="str">
        <f aca="false">IF($B153="","",_xlfn.TEXTJOIN(" | ",TRUE(),IF($Q153=TRUE(),"Empty box - no physical device, verify status",""),IF(AND($P153=TRUE(),$L153=FALSE(),$M153=FALSE(),$N153=FALSE(),$O153=FALSE(),$Q153=FALSE()),"Speaker fault only - needs manual box assignment",""),IF(AND($R153=TRUE(),$L153=FALSE(),$M153=FALSE(),$N153=FALSE(),$O153=FALSE(),$P153=FALSE(),$Q153=FALSE()),"No fault detail given - needs technician inspection",""),IF(AND(COUNTIF($F$3:$F$252,$F153)&gt;1,LOWER(TRIM($F153))&lt;&gt;"empty"),"Duplicate Serial No - verify device identity",""),IF((--$L153+--$M153+--$N153+--$O153+--$P153)&gt;1,"Multiple fault types detected - review full details before repair","")))</f>
        <v/>
      </c>
      <c r="W153" s="36"/>
      <c r="X153" s="36"/>
    </row>
    <row r="154" customFormat="false" ht="15" hidden="false" customHeight="true" outlineLevel="0" collapsed="false">
      <c r="A154" s="36" t="str">
        <f aca="false">IF($B154="","",152)</f>
        <v/>
      </c>
      <c r="B154" s="37"/>
      <c r="C154" s="36"/>
      <c r="D154" s="36" t="str">
        <f aca="false">IF($B154="","",IFERROR(VLOOKUP(TRIM($C154),ModelMap,2,FALSE()),TRIM($C154)))</f>
        <v/>
      </c>
      <c r="E154" s="36"/>
      <c r="F154" s="36"/>
      <c r="G154" s="36"/>
      <c r="H154" s="36"/>
      <c r="I154" s="36"/>
      <c r="J154" s="36"/>
      <c r="K154" s="36" t="str">
        <f aca="false">IF($B154="","",LOWER(TRIM($G154)&amp;" | "&amp;TRIM($H154)&amp;" | "&amp;TRIM($I154)))</f>
        <v/>
      </c>
      <c r="L154" s="36" t="str">
        <f aca="false">IF($B154="","",SUMPRODUCT(--ISNUMBER(SEARCH(SensorKW,$K154)))&gt;0)</f>
        <v/>
      </c>
      <c r="M154" s="36" t="str">
        <f aca="false">IF($B154="","",SUMPRODUCT(--ISNUMBER(SEARCH(DisplayKW,$K154)))&gt;0)</f>
        <v/>
      </c>
      <c r="N154" s="36" t="str">
        <f aca="false">IF($B154="","",SUMPRODUCT(--ISNUMBER(SEARCH(KeypadKW,$K154)))&gt;0)</f>
        <v/>
      </c>
      <c r="O154" s="36" t="str">
        <f aca="false">IF($B154="","",SUMPRODUCT(--ISNUMBER(SEARCH(PowerKW,$K154)))&gt;0)</f>
        <v/>
      </c>
      <c r="P154" s="36" t="str">
        <f aca="false">IF($B154="","",SUMPRODUCT(--ISNUMBER(SEARCH(SpeakerKW,$K154)))&gt;0)</f>
        <v/>
      </c>
      <c r="Q154" s="36" t="str">
        <f aca="false">IF($B154="","",OR(SUMPRODUCT(--ISNUMBER(SEARCH(EmptyKW,$K154)))&gt;0,LOWER(TRIM($F154))="empty"))</f>
        <v/>
      </c>
      <c r="R154" s="36" t="str">
        <f aca="false">IF($B154="","",OR(ISNUMBER(SEARCH("repair",$G154)),ISNUMBER(SEARCH("not working",$G154))))</f>
        <v/>
      </c>
      <c r="S154" s="36" t="str">
        <f aca="false">IF(AND($B154&lt;&gt;"",$M154=TRUE(),$L154=FALSE(),$Q154=FALSE()),COUNTIFS($M$3:$M154,TRUE(),$L$3:$L154,FALSE(),$Q$3:$Q154,FALSE()),"")</f>
        <v/>
      </c>
      <c r="T154" s="36" t="str">
        <f aca="false">IF($B154="","",IF($Q154=TRUE(),"U1",IF($L154=TRUE(),"S1",IF($M154=TRUE(),"D"&amp;MIN(4,INT(($S154-1)/DisplayCapacity)+1),IF($N154=TRUE(),"K1",IF($O154=TRUE(),"P1",IF($P154=TRUE(),"U1",IF($R154=TRUE(),"U1","W"))))))))</f>
        <v/>
      </c>
      <c r="U154" s="36" t="str">
        <f aca="false">IF($T154="","",$T154&amp;"-"&amp;COUNTIF($T$3:T154,$T154))</f>
        <v/>
      </c>
      <c r="V154" s="36" t="str">
        <f aca="false">IF($B154="","",_xlfn.TEXTJOIN(" | ",TRUE(),IF($Q154=TRUE(),"Empty box - no physical device, verify status",""),IF(AND($P154=TRUE(),$L154=FALSE(),$M154=FALSE(),$N154=FALSE(),$O154=FALSE(),$Q154=FALSE()),"Speaker fault only - needs manual box assignment",""),IF(AND($R154=TRUE(),$L154=FALSE(),$M154=FALSE(),$N154=FALSE(),$O154=FALSE(),$P154=FALSE(),$Q154=FALSE()),"No fault detail given - needs technician inspection",""),IF(AND(COUNTIF($F$3:$F$252,$F154)&gt;1,LOWER(TRIM($F154))&lt;&gt;"empty"),"Duplicate Serial No - verify device identity",""),IF((--$L154+--$M154+--$N154+--$O154+--$P154)&gt;1,"Multiple fault types detected - review full details before repair","")))</f>
        <v/>
      </c>
      <c r="W154" s="36"/>
      <c r="X154" s="36"/>
    </row>
    <row r="155" customFormat="false" ht="15" hidden="false" customHeight="true" outlineLevel="0" collapsed="false">
      <c r="A155" s="36" t="str">
        <f aca="false">IF($B155="","",153)</f>
        <v/>
      </c>
      <c r="B155" s="37"/>
      <c r="C155" s="36"/>
      <c r="D155" s="36" t="str">
        <f aca="false">IF($B155="","",IFERROR(VLOOKUP(TRIM($C155),ModelMap,2,FALSE()),TRIM($C155)))</f>
        <v/>
      </c>
      <c r="E155" s="36"/>
      <c r="F155" s="36"/>
      <c r="G155" s="36"/>
      <c r="H155" s="36"/>
      <c r="I155" s="36"/>
      <c r="J155" s="36"/>
      <c r="K155" s="36" t="str">
        <f aca="false">IF($B155="","",LOWER(TRIM($G155)&amp;" | "&amp;TRIM($H155)&amp;" | "&amp;TRIM($I155)))</f>
        <v/>
      </c>
      <c r="L155" s="36" t="str">
        <f aca="false">IF($B155="","",SUMPRODUCT(--ISNUMBER(SEARCH(SensorKW,$K155)))&gt;0)</f>
        <v/>
      </c>
      <c r="M155" s="36" t="str">
        <f aca="false">IF($B155="","",SUMPRODUCT(--ISNUMBER(SEARCH(DisplayKW,$K155)))&gt;0)</f>
        <v/>
      </c>
      <c r="N155" s="36" t="str">
        <f aca="false">IF($B155="","",SUMPRODUCT(--ISNUMBER(SEARCH(KeypadKW,$K155)))&gt;0)</f>
        <v/>
      </c>
      <c r="O155" s="36" t="str">
        <f aca="false">IF($B155="","",SUMPRODUCT(--ISNUMBER(SEARCH(PowerKW,$K155)))&gt;0)</f>
        <v/>
      </c>
      <c r="P155" s="36" t="str">
        <f aca="false">IF($B155="","",SUMPRODUCT(--ISNUMBER(SEARCH(SpeakerKW,$K155)))&gt;0)</f>
        <v/>
      </c>
      <c r="Q155" s="36" t="str">
        <f aca="false">IF($B155="","",OR(SUMPRODUCT(--ISNUMBER(SEARCH(EmptyKW,$K155)))&gt;0,LOWER(TRIM($F155))="empty"))</f>
        <v/>
      </c>
      <c r="R155" s="36" t="str">
        <f aca="false">IF($B155="","",OR(ISNUMBER(SEARCH("repair",$G155)),ISNUMBER(SEARCH("not working",$G155))))</f>
        <v/>
      </c>
      <c r="S155" s="36" t="str">
        <f aca="false">IF(AND($B155&lt;&gt;"",$M155=TRUE(),$L155=FALSE(),$Q155=FALSE()),COUNTIFS($M$3:$M155,TRUE(),$L$3:$L155,FALSE(),$Q$3:$Q155,FALSE()),"")</f>
        <v/>
      </c>
      <c r="T155" s="36" t="str">
        <f aca="false">IF($B155="","",IF($Q155=TRUE(),"U1",IF($L155=TRUE(),"S1",IF($M155=TRUE(),"D"&amp;MIN(4,INT(($S155-1)/DisplayCapacity)+1),IF($N155=TRUE(),"K1",IF($O155=TRUE(),"P1",IF($P155=TRUE(),"U1",IF($R155=TRUE(),"U1","W"))))))))</f>
        <v/>
      </c>
      <c r="U155" s="36" t="str">
        <f aca="false">IF($T155="","",$T155&amp;"-"&amp;COUNTIF($T$3:T155,$T155))</f>
        <v/>
      </c>
      <c r="V155" s="36" t="str">
        <f aca="false">IF($B155="","",_xlfn.TEXTJOIN(" | ",TRUE(),IF($Q155=TRUE(),"Empty box - no physical device, verify status",""),IF(AND($P155=TRUE(),$L155=FALSE(),$M155=FALSE(),$N155=FALSE(),$O155=FALSE(),$Q155=FALSE()),"Speaker fault only - needs manual box assignment",""),IF(AND($R155=TRUE(),$L155=FALSE(),$M155=FALSE(),$N155=FALSE(),$O155=FALSE(),$P155=FALSE(),$Q155=FALSE()),"No fault detail given - needs technician inspection",""),IF(AND(COUNTIF($F$3:$F$252,$F155)&gt;1,LOWER(TRIM($F155))&lt;&gt;"empty"),"Duplicate Serial No - verify device identity",""),IF((--$L155+--$M155+--$N155+--$O155+--$P155)&gt;1,"Multiple fault types detected - review full details before repair","")))</f>
        <v/>
      </c>
      <c r="W155" s="36"/>
      <c r="X155" s="36"/>
    </row>
    <row r="156" customFormat="false" ht="15" hidden="false" customHeight="true" outlineLevel="0" collapsed="false">
      <c r="A156" s="36" t="str">
        <f aca="false">IF($B156="","",154)</f>
        <v/>
      </c>
      <c r="B156" s="37"/>
      <c r="C156" s="36"/>
      <c r="D156" s="36" t="str">
        <f aca="false">IF($B156="","",IFERROR(VLOOKUP(TRIM($C156),ModelMap,2,FALSE()),TRIM($C156)))</f>
        <v/>
      </c>
      <c r="E156" s="36"/>
      <c r="F156" s="36"/>
      <c r="G156" s="36"/>
      <c r="H156" s="36"/>
      <c r="I156" s="36"/>
      <c r="J156" s="36"/>
      <c r="K156" s="36" t="str">
        <f aca="false">IF($B156="","",LOWER(TRIM($G156)&amp;" | "&amp;TRIM($H156)&amp;" | "&amp;TRIM($I156)))</f>
        <v/>
      </c>
      <c r="L156" s="36" t="str">
        <f aca="false">IF($B156="","",SUMPRODUCT(--ISNUMBER(SEARCH(SensorKW,$K156)))&gt;0)</f>
        <v/>
      </c>
      <c r="M156" s="36" t="str">
        <f aca="false">IF($B156="","",SUMPRODUCT(--ISNUMBER(SEARCH(DisplayKW,$K156)))&gt;0)</f>
        <v/>
      </c>
      <c r="N156" s="36" t="str">
        <f aca="false">IF($B156="","",SUMPRODUCT(--ISNUMBER(SEARCH(KeypadKW,$K156)))&gt;0)</f>
        <v/>
      </c>
      <c r="O156" s="36" t="str">
        <f aca="false">IF($B156="","",SUMPRODUCT(--ISNUMBER(SEARCH(PowerKW,$K156)))&gt;0)</f>
        <v/>
      </c>
      <c r="P156" s="36" t="str">
        <f aca="false">IF($B156="","",SUMPRODUCT(--ISNUMBER(SEARCH(SpeakerKW,$K156)))&gt;0)</f>
        <v/>
      </c>
      <c r="Q156" s="36" t="str">
        <f aca="false">IF($B156="","",OR(SUMPRODUCT(--ISNUMBER(SEARCH(EmptyKW,$K156)))&gt;0,LOWER(TRIM($F156))="empty"))</f>
        <v/>
      </c>
      <c r="R156" s="36" t="str">
        <f aca="false">IF($B156="","",OR(ISNUMBER(SEARCH("repair",$G156)),ISNUMBER(SEARCH("not working",$G156))))</f>
        <v/>
      </c>
      <c r="S156" s="36" t="str">
        <f aca="false">IF(AND($B156&lt;&gt;"",$M156=TRUE(),$L156=FALSE(),$Q156=FALSE()),COUNTIFS($M$3:$M156,TRUE(),$L$3:$L156,FALSE(),$Q$3:$Q156,FALSE()),"")</f>
        <v/>
      </c>
      <c r="T156" s="36" t="str">
        <f aca="false">IF($B156="","",IF($Q156=TRUE(),"U1",IF($L156=TRUE(),"S1",IF($M156=TRUE(),"D"&amp;MIN(4,INT(($S156-1)/DisplayCapacity)+1),IF($N156=TRUE(),"K1",IF($O156=TRUE(),"P1",IF($P156=TRUE(),"U1",IF($R156=TRUE(),"U1","W"))))))))</f>
        <v/>
      </c>
      <c r="U156" s="36" t="str">
        <f aca="false">IF($T156="","",$T156&amp;"-"&amp;COUNTIF($T$3:T156,$T156))</f>
        <v/>
      </c>
      <c r="V156" s="36" t="str">
        <f aca="false">IF($B156="","",_xlfn.TEXTJOIN(" | ",TRUE(),IF($Q156=TRUE(),"Empty box - no physical device, verify status",""),IF(AND($P156=TRUE(),$L156=FALSE(),$M156=FALSE(),$N156=FALSE(),$O156=FALSE(),$Q156=FALSE()),"Speaker fault only - needs manual box assignment",""),IF(AND($R156=TRUE(),$L156=FALSE(),$M156=FALSE(),$N156=FALSE(),$O156=FALSE(),$P156=FALSE(),$Q156=FALSE()),"No fault detail given - needs technician inspection",""),IF(AND(COUNTIF($F$3:$F$252,$F156)&gt;1,LOWER(TRIM($F156))&lt;&gt;"empty"),"Duplicate Serial No - verify device identity",""),IF((--$L156+--$M156+--$N156+--$O156+--$P156)&gt;1,"Multiple fault types detected - review full details before repair","")))</f>
        <v/>
      </c>
      <c r="W156" s="36"/>
      <c r="X156" s="36"/>
    </row>
    <row r="157" customFormat="false" ht="15" hidden="false" customHeight="true" outlineLevel="0" collapsed="false">
      <c r="A157" s="36" t="str">
        <f aca="false">IF($B157="","",155)</f>
        <v/>
      </c>
      <c r="B157" s="37"/>
      <c r="C157" s="36"/>
      <c r="D157" s="36" t="str">
        <f aca="false">IF($B157="","",IFERROR(VLOOKUP(TRIM($C157),ModelMap,2,FALSE()),TRIM($C157)))</f>
        <v/>
      </c>
      <c r="E157" s="36"/>
      <c r="F157" s="36"/>
      <c r="G157" s="36"/>
      <c r="H157" s="36"/>
      <c r="I157" s="36"/>
      <c r="J157" s="36"/>
      <c r="K157" s="36" t="str">
        <f aca="false">IF($B157="","",LOWER(TRIM($G157)&amp;" | "&amp;TRIM($H157)&amp;" | "&amp;TRIM($I157)))</f>
        <v/>
      </c>
      <c r="L157" s="36" t="str">
        <f aca="false">IF($B157="","",SUMPRODUCT(--ISNUMBER(SEARCH(SensorKW,$K157)))&gt;0)</f>
        <v/>
      </c>
      <c r="M157" s="36" t="str">
        <f aca="false">IF($B157="","",SUMPRODUCT(--ISNUMBER(SEARCH(DisplayKW,$K157)))&gt;0)</f>
        <v/>
      </c>
      <c r="N157" s="36" t="str">
        <f aca="false">IF($B157="","",SUMPRODUCT(--ISNUMBER(SEARCH(KeypadKW,$K157)))&gt;0)</f>
        <v/>
      </c>
      <c r="O157" s="36" t="str">
        <f aca="false">IF($B157="","",SUMPRODUCT(--ISNUMBER(SEARCH(PowerKW,$K157)))&gt;0)</f>
        <v/>
      </c>
      <c r="P157" s="36" t="str">
        <f aca="false">IF($B157="","",SUMPRODUCT(--ISNUMBER(SEARCH(SpeakerKW,$K157)))&gt;0)</f>
        <v/>
      </c>
      <c r="Q157" s="36" t="str">
        <f aca="false">IF($B157="","",OR(SUMPRODUCT(--ISNUMBER(SEARCH(EmptyKW,$K157)))&gt;0,LOWER(TRIM($F157))="empty"))</f>
        <v/>
      </c>
      <c r="R157" s="36" t="str">
        <f aca="false">IF($B157="","",OR(ISNUMBER(SEARCH("repair",$G157)),ISNUMBER(SEARCH("not working",$G157))))</f>
        <v/>
      </c>
      <c r="S157" s="36" t="str">
        <f aca="false">IF(AND($B157&lt;&gt;"",$M157=TRUE(),$L157=FALSE(),$Q157=FALSE()),COUNTIFS($M$3:$M157,TRUE(),$L$3:$L157,FALSE(),$Q$3:$Q157,FALSE()),"")</f>
        <v/>
      </c>
      <c r="T157" s="36" t="str">
        <f aca="false">IF($B157="","",IF($Q157=TRUE(),"U1",IF($L157=TRUE(),"S1",IF($M157=TRUE(),"D"&amp;MIN(4,INT(($S157-1)/DisplayCapacity)+1),IF($N157=TRUE(),"K1",IF($O157=TRUE(),"P1",IF($P157=TRUE(),"U1",IF($R157=TRUE(),"U1","W"))))))))</f>
        <v/>
      </c>
      <c r="U157" s="36" t="str">
        <f aca="false">IF($T157="","",$T157&amp;"-"&amp;COUNTIF($T$3:T157,$T157))</f>
        <v/>
      </c>
      <c r="V157" s="36" t="str">
        <f aca="false">IF($B157="","",_xlfn.TEXTJOIN(" | ",TRUE(),IF($Q157=TRUE(),"Empty box - no physical device, verify status",""),IF(AND($P157=TRUE(),$L157=FALSE(),$M157=FALSE(),$N157=FALSE(),$O157=FALSE(),$Q157=FALSE()),"Speaker fault only - needs manual box assignment",""),IF(AND($R157=TRUE(),$L157=FALSE(),$M157=FALSE(),$N157=FALSE(),$O157=FALSE(),$P157=FALSE(),$Q157=FALSE()),"No fault detail given - needs technician inspection",""),IF(AND(COUNTIF($F$3:$F$252,$F157)&gt;1,LOWER(TRIM($F157))&lt;&gt;"empty"),"Duplicate Serial No - verify device identity",""),IF((--$L157+--$M157+--$N157+--$O157+--$P157)&gt;1,"Multiple fault types detected - review full details before repair","")))</f>
        <v/>
      </c>
      <c r="W157" s="36"/>
      <c r="X157" s="36"/>
    </row>
    <row r="158" customFormat="false" ht="15" hidden="false" customHeight="true" outlineLevel="0" collapsed="false">
      <c r="A158" s="36" t="str">
        <f aca="false">IF($B158="","",156)</f>
        <v/>
      </c>
      <c r="B158" s="37"/>
      <c r="C158" s="36"/>
      <c r="D158" s="36" t="str">
        <f aca="false">IF($B158="","",IFERROR(VLOOKUP(TRIM($C158),ModelMap,2,FALSE()),TRIM($C158)))</f>
        <v/>
      </c>
      <c r="E158" s="36"/>
      <c r="F158" s="36"/>
      <c r="G158" s="36"/>
      <c r="H158" s="36"/>
      <c r="I158" s="36"/>
      <c r="J158" s="36"/>
      <c r="K158" s="36" t="str">
        <f aca="false">IF($B158="","",LOWER(TRIM($G158)&amp;" | "&amp;TRIM($H158)&amp;" | "&amp;TRIM($I158)))</f>
        <v/>
      </c>
      <c r="L158" s="36" t="str">
        <f aca="false">IF($B158="","",SUMPRODUCT(--ISNUMBER(SEARCH(SensorKW,$K158)))&gt;0)</f>
        <v/>
      </c>
      <c r="M158" s="36" t="str">
        <f aca="false">IF($B158="","",SUMPRODUCT(--ISNUMBER(SEARCH(DisplayKW,$K158)))&gt;0)</f>
        <v/>
      </c>
      <c r="N158" s="36" t="str">
        <f aca="false">IF($B158="","",SUMPRODUCT(--ISNUMBER(SEARCH(KeypadKW,$K158)))&gt;0)</f>
        <v/>
      </c>
      <c r="O158" s="36" t="str">
        <f aca="false">IF($B158="","",SUMPRODUCT(--ISNUMBER(SEARCH(PowerKW,$K158)))&gt;0)</f>
        <v/>
      </c>
      <c r="P158" s="36" t="str">
        <f aca="false">IF($B158="","",SUMPRODUCT(--ISNUMBER(SEARCH(SpeakerKW,$K158)))&gt;0)</f>
        <v/>
      </c>
      <c r="Q158" s="36" t="str">
        <f aca="false">IF($B158="","",OR(SUMPRODUCT(--ISNUMBER(SEARCH(EmptyKW,$K158)))&gt;0,LOWER(TRIM($F158))="empty"))</f>
        <v/>
      </c>
      <c r="R158" s="36" t="str">
        <f aca="false">IF($B158="","",OR(ISNUMBER(SEARCH("repair",$G158)),ISNUMBER(SEARCH("not working",$G158))))</f>
        <v/>
      </c>
      <c r="S158" s="36" t="str">
        <f aca="false">IF(AND($B158&lt;&gt;"",$M158=TRUE(),$L158=FALSE(),$Q158=FALSE()),COUNTIFS($M$3:$M158,TRUE(),$L$3:$L158,FALSE(),$Q$3:$Q158,FALSE()),"")</f>
        <v/>
      </c>
      <c r="T158" s="36" t="str">
        <f aca="false">IF($B158="","",IF($Q158=TRUE(),"U1",IF($L158=TRUE(),"S1",IF($M158=TRUE(),"D"&amp;MIN(4,INT(($S158-1)/DisplayCapacity)+1),IF($N158=TRUE(),"K1",IF($O158=TRUE(),"P1",IF($P158=TRUE(),"U1",IF($R158=TRUE(),"U1","W"))))))))</f>
        <v/>
      </c>
      <c r="U158" s="36" t="str">
        <f aca="false">IF($T158="","",$T158&amp;"-"&amp;COUNTIF($T$3:T158,$T158))</f>
        <v/>
      </c>
      <c r="V158" s="36" t="str">
        <f aca="false">IF($B158="","",_xlfn.TEXTJOIN(" | ",TRUE(),IF($Q158=TRUE(),"Empty box - no physical device, verify status",""),IF(AND($P158=TRUE(),$L158=FALSE(),$M158=FALSE(),$N158=FALSE(),$O158=FALSE(),$Q158=FALSE()),"Speaker fault only - needs manual box assignment",""),IF(AND($R158=TRUE(),$L158=FALSE(),$M158=FALSE(),$N158=FALSE(),$O158=FALSE(),$P158=FALSE(),$Q158=FALSE()),"No fault detail given - needs technician inspection",""),IF(AND(COUNTIF($F$3:$F$252,$F158)&gt;1,LOWER(TRIM($F158))&lt;&gt;"empty"),"Duplicate Serial No - verify device identity",""),IF((--$L158+--$M158+--$N158+--$O158+--$P158)&gt;1,"Multiple fault types detected - review full details before repair","")))</f>
        <v/>
      </c>
      <c r="W158" s="36"/>
      <c r="X158" s="36"/>
    </row>
    <row r="159" customFormat="false" ht="15" hidden="false" customHeight="true" outlineLevel="0" collapsed="false">
      <c r="A159" s="36" t="str">
        <f aca="false">IF($B159="","",157)</f>
        <v/>
      </c>
      <c r="B159" s="37"/>
      <c r="C159" s="36"/>
      <c r="D159" s="36" t="str">
        <f aca="false">IF($B159="","",IFERROR(VLOOKUP(TRIM($C159),ModelMap,2,FALSE()),TRIM($C159)))</f>
        <v/>
      </c>
      <c r="E159" s="36"/>
      <c r="F159" s="36"/>
      <c r="G159" s="36"/>
      <c r="H159" s="36"/>
      <c r="I159" s="36"/>
      <c r="J159" s="36"/>
      <c r="K159" s="36" t="str">
        <f aca="false">IF($B159="","",LOWER(TRIM($G159)&amp;" | "&amp;TRIM($H159)&amp;" | "&amp;TRIM($I159)))</f>
        <v/>
      </c>
      <c r="L159" s="36" t="str">
        <f aca="false">IF($B159="","",SUMPRODUCT(--ISNUMBER(SEARCH(SensorKW,$K159)))&gt;0)</f>
        <v/>
      </c>
      <c r="M159" s="36" t="str">
        <f aca="false">IF($B159="","",SUMPRODUCT(--ISNUMBER(SEARCH(DisplayKW,$K159)))&gt;0)</f>
        <v/>
      </c>
      <c r="N159" s="36" t="str">
        <f aca="false">IF($B159="","",SUMPRODUCT(--ISNUMBER(SEARCH(KeypadKW,$K159)))&gt;0)</f>
        <v/>
      </c>
      <c r="O159" s="36" t="str">
        <f aca="false">IF($B159="","",SUMPRODUCT(--ISNUMBER(SEARCH(PowerKW,$K159)))&gt;0)</f>
        <v/>
      </c>
      <c r="P159" s="36" t="str">
        <f aca="false">IF($B159="","",SUMPRODUCT(--ISNUMBER(SEARCH(SpeakerKW,$K159)))&gt;0)</f>
        <v/>
      </c>
      <c r="Q159" s="36" t="str">
        <f aca="false">IF($B159="","",OR(SUMPRODUCT(--ISNUMBER(SEARCH(EmptyKW,$K159)))&gt;0,LOWER(TRIM($F159))="empty"))</f>
        <v/>
      </c>
      <c r="R159" s="36" t="str">
        <f aca="false">IF($B159="","",OR(ISNUMBER(SEARCH("repair",$G159)),ISNUMBER(SEARCH("not working",$G159))))</f>
        <v/>
      </c>
      <c r="S159" s="36" t="str">
        <f aca="false">IF(AND($B159&lt;&gt;"",$M159=TRUE(),$L159=FALSE(),$Q159=FALSE()),COUNTIFS($M$3:$M159,TRUE(),$L$3:$L159,FALSE(),$Q$3:$Q159,FALSE()),"")</f>
        <v/>
      </c>
      <c r="T159" s="36" t="str">
        <f aca="false">IF($B159="","",IF($Q159=TRUE(),"U1",IF($L159=TRUE(),"S1",IF($M159=TRUE(),"D"&amp;MIN(4,INT(($S159-1)/DisplayCapacity)+1),IF($N159=TRUE(),"K1",IF($O159=TRUE(),"P1",IF($P159=TRUE(),"U1",IF($R159=TRUE(),"U1","W"))))))))</f>
        <v/>
      </c>
      <c r="U159" s="36" t="str">
        <f aca="false">IF($T159="","",$T159&amp;"-"&amp;COUNTIF($T$3:T159,$T159))</f>
        <v/>
      </c>
      <c r="V159" s="36" t="str">
        <f aca="false">IF($B159="","",_xlfn.TEXTJOIN(" | ",TRUE(),IF($Q159=TRUE(),"Empty box - no physical device, verify status",""),IF(AND($P159=TRUE(),$L159=FALSE(),$M159=FALSE(),$N159=FALSE(),$O159=FALSE(),$Q159=FALSE()),"Speaker fault only - needs manual box assignment",""),IF(AND($R159=TRUE(),$L159=FALSE(),$M159=FALSE(),$N159=FALSE(),$O159=FALSE(),$P159=FALSE(),$Q159=FALSE()),"No fault detail given - needs technician inspection",""),IF(AND(COUNTIF($F$3:$F$252,$F159)&gt;1,LOWER(TRIM($F159))&lt;&gt;"empty"),"Duplicate Serial No - verify device identity",""),IF((--$L159+--$M159+--$N159+--$O159+--$P159)&gt;1,"Multiple fault types detected - review full details before repair","")))</f>
        <v/>
      </c>
      <c r="W159" s="36"/>
      <c r="X159" s="36"/>
    </row>
    <row r="160" customFormat="false" ht="15" hidden="false" customHeight="true" outlineLevel="0" collapsed="false">
      <c r="A160" s="36" t="str">
        <f aca="false">IF($B160="","",158)</f>
        <v/>
      </c>
      <c r="B160" s="37"/>
      <c r="C160" s="36"/>
      <c r="D160" s="36" t="str">
        <f aca="false">IF($B160="","",IFERROR(VLOOKUP(TRIM($C160),ModelMap,2,FALSE()),TRIM($C160)))</f>
        <v/>
      </c>
      <c r="E160" s="36"/>
      <c r="F160" s="36"/>
      <c r="G160" s="36"/>
      <c r="H160" s="36"/>
      <c r="I160" s="36"/>
      <c r="J160" s="36"/>
      <c r="K160" s="36" t="str">
        <f aca="false">IF($B160="","",LOWER(TRIM($G160)&amp;" | "&amp;TRIM($H160)&amp;" | "&amp;TRIM($I160)))</f>
        <v/>
      </c>
      <c r="L160" s="36" t="str">
        <f aca="false">IF($B160="","",SUMPRODUCT(--ISNUMBER(SEARCH(SensorKW,$K160)))&gt;0)</f>
        <v/>
      </c>
      <c r="M160" s="36" t="str">
        <f aca="false">IF($B160="","",SUMPRODUCT(--ISNUMBER(SEARCH(DisplayKW,$K160)))&gt;0)</f>
        <v/>
      </c>
      <c r="N160" s="36" t="str">
        <f aca="false">IF($B160="","",SUMPRODUCT(--ISNUMBER(SEARCH(KeypadKW,$K160)))&gt;0)</f>
        <v/>
      </c>
      <c r="O160" s="36" t="str">
        <f aca="false">IF($B160="","",SUMPRODUCT(--ISNUMBER(SEARCH(PowerKW,$K160)))&gt;0)</f>
        <v/>
      </c>
      <c r="P160" s="36" t="str">
        <f aca="false">IF($B160="","",SUMPRODUCT(--ISNUMBER(SEARCH(SpeakerKW,$K160)))&gt;0)</f>
        <v/>
      </c>
      <c r="Q160" s="36" t="str">
        <f aca="false">IF($B160="","",OR(SUMPRODUCT(--ISNUMBER(SEARCH(EmptyKW,$K160)))&gt;0,LOWER(TRIM($F160))="empty"))</f>
        <v/>
      </c>
      <c r="R160" s="36" t="str">
        <f aca="false">IF($B160="","",OR(ISNUMBER(SEARCH("repair",$G160)),ISNUMBER(SEARCH("not working",$G160))))</f>
        <v/>
      </c>
      <c r="S160" s="36" t="str">
        <f aca="false">IF(AND($B160&lt;&gt;"",$M160=TRUE(),$L160=FALSE(),$Q160=FALSE()),COUNTIFS($M$3:$M160,TRUE(),$L$3:$L160,FALSE(),$Q$3:$Q160,FALSE()),"")</f>
        <v/>
      </c>
      <c r="T160" s="36" t="str">
        <f aca="false">IF($B160="","",IF($Q160=TRUE(),"U1",IF($L160=TRUE(),"S1",IF($M160=TRUE(),"D"&amp;MIN(4,INT(($S160-1)/DisplayCapacity)+1),IF($N160=TRUE(),"K1",IF($O160=TRUE(),"P1",IF($P160=TRUE(),"U1",IF($R160=TRUE(),"U1","W"))))))))</f>
        <v/>
      </c>
      <c r="U160" s="36" t="str">
        <f aca="false">IF($T160="","",$T160&amp;"-"&amp;COUNTIF($T$3:T160,$T160))</f>
        <v/>
      </c>
      <c r="V160" s="36" t="str">
        <f aca="false">IF($B160="","",_xlfn.TEXTJOIN(" | ",TRUE(),IF($Q160=TRUE(),"Empty box - no physical device, verify status",""),IF(AND($P160=TRUE(),$L160=FALSE(),$M160=FALSE(),$N160=FALSE(),$O160=FALSE(),$Q160=FALSE()),"Speaker fault only - needs manual box assignment",""),IF(AND($R160=TRUE(),$L160=FALSE(),$M160=FALSE(),$N160=FALSE(),$O160=FALSE(),$P160=FALSE(),$Q160=FALSE()),"No fault detail given - needs technician inspection",""),IF(AND(COUNTIF($F$3:$F$252,$F160)&gt;1,LOWER(TRIM($F160))&lt;&gt;"empty"),"Duplicate Serial No - verify device identity",""),IF((--$L160+--$M160+--$N160+--$O160+--$P160)&gt;1,"Multiple fault types detected - review full details before repair","")))</f>
        <v/>
      </c>
      <c r="W160" s="36"/>
      <c r="X160" s="36"/>
    </row>
    <row r="161" customFormat="false" ht="15" hidden="false" customHeight="true" outlineLevel="0" collapsed="false">
      <c r="A161" s="36" t="str">
        <f aca="false">IF($B161="","",159)</f>
        <v/>
      </c>
      <c r="B161" s="37"/>
      <c r="C161" s="36"/>
      <c r="D161" s="36" t="str">
        <f aca="false">IF($B161="","",IFERROR(VLOOKUP(TRIM($C161),ModelMap,2,FALSE()),TRIM($C161)))</f>
        <v/>
      </c>
      <c r="E161" s="36"/>
      <c r="F161" s="36"/>
      <c r="G161" s="36"/>
      <c r="H161" s="36"/>
      <c r="I161" s="36"/>
      <c r="J161" s="36"/>
      <c r="K161" s="36" t="str">
        <f aca="false">IF($B161="","",LOWER(TRIM($G161)&amp;" | "&amp;TRIM($H161)&amp;" | "&amp;TRIM($I161)))</f>
        <v/>
      </c>
      <c r="L161" s="36" t="str">
        <f aca="false">IF($B161="","",SUMPRODUCT(--ISNUMBER(SEARCH(SensorKW,$K161)))&gt;0)</f>
        <v/>
      </c>
      <c r="M161" s="36" t="str">
        <f aca="false">IF($B161="","",SUMPRODUCT(--ISNUMBER(SEARCH(DisplayKW,$K161)))&gt;0)</f>
        <v/>
      </c>
      <c r="N161" s="36" t="str">
        <f aca="false">IF($B161="","",SUMPRODUCT(--ISNUMBER(SEARCH(KeypadKW,$K161)))&gt;0)</f>
        <v/>
      </c>
      <c r="O161" s="36" t="str">
        <f aca="false">IF($B161="","",SUMPRODUCT(--ISNUMBER(SEARCH(PowerKW,$K161)))&gt;0)</f>
        <v/>
      </c>
      <c r="P161" s="36" t="str">
        <f aca="false">IF($B161="","",SUMPRODUCT(--ISNUMBER(SEARCH(SpeakerKW,$K161)))&gt;0)</f>
        <v/>
      </c>
      <c r="Q161" s="36" t="str">
        <f aca="false">IF($B161="","",OR(SUMPRODUCT(--ISNUMBER(SEARCH(EmptyKW,$K161)))&gt;0,LOWER(TRIM($F161))="empty"))</f>
        <v/>
      </c>
      <c r="R161" s="36" t="str">
        <f aca="false">IF($B161="","",OR(ISNUMBER(SEARCH("repair",$G161)),ISNUMBER(SEARCH("not working",$G161))))</f>
        <v/>
      </c>
      <c r="S161" s="36" t="str">
        <f aca="false">IF(AND($B161&lt;&gt;"",$M161=TRUE(),$L161=FALSE(),$Q161=FALSE()),COUNTIFS($M$3:$M161,TRUE(),$L$3:$L161,FALSE(),$Q$3:$Q161,FALSE()),"")</f>
        <v/>
      </c>
      <c r="T161" s="36" t="str">
        <f aca="false">IF($B161="","",IF($Q161=TRUE(),"U1",IF($L161=TRUE(),"S1",IF($M161=TRUE(),"D"&amp;MIN(4,INT(($S161-1)/DisplayCapacity)+1),IF($N161=TRUE(),"K1",IF($O161=TRUE(),"P1",IF($P161=TRUE(),"U1",IF($R161=TRUE(),"U1","W"))))))))</f>
        <v/>
      </c>
      <c r="U161" s="36" t="str">
        <f aca="false">IF($T161="","",$T161&amp;"-"&amp;COUNTIF($T$3:T161,$T161))</f>
        <v/>
      </c>
      <c r="V161" s="36" t="str">
        <f aca="false">IF($B161="","",_xlfn.TEXTJOIN(" | ",TRUE(),IF($Q161=TRUE(),"Empty box - no physical device, verify status",""),IF(AND($P161=TRUE(),$L161=FALSE(),$M161=FALSE(),$N161=FALSE(),$O161=FALSE(),$Q161=FALSE()),"Speaker fault only - needs manual box assignment",""),IF(AND($R161=TRUE(),$L161=FALSE(),$M161=FALSE(),$N161=FALSE(),$O161=FALSE(),$P161=FALSE(),$Q161=FALSE()),"No fault detail given - needs technician inspection",""),IF(AND(COUNTIF($F$3:$F$252,$F161)&gt;1,LOWER(TRIM($F161))&lt;&gt;"empty"),"Duplicate Serial No - verify device identity",""),IF((--$L161+--$M161+--$N161+--$O161+--$P161)&gt;1,"Multiple fault types detected - review full details before repair","")))</f>
        <v/>
      </c>
      <c r="W161" s="36"/>
      <c r="X161" s="36"/>
    </row>
    <row r="162" customFormat="false" ht="15" hidden="false" customHeight="true" outlineLevel="0" collapsed="false">
      <c r="A162" s="36" t="str">
        <f aca="false">IF($B162="","",160)</f>
        <v/>
      </c>
      <c r="B162" s="37"/>
      <c r="C162" s="36"/>
      <c r="D162" s="36" t="str">
        <f aca="false">IF($B162="","",IFERROR(VLOOKUP(TRIM($C162),ModelMap,2,FALSE()),TRIM($C162)))</f>
        <v/>
      </c>
      <c r="E162" s="36"/>
      <c r="F162" s="36"/>
      <c r="G162" s="36"/>
      <c r="H162" s="36"/>
      <c r="I162" s="36"/>
      <c r="J162" s="36"/>
      <c r="K162" s="36" t="str">
        <f aca="false">IF($B162="","",LOWER(TRIM($G162)&amp;" | "&amp;TRIM($H162)&amp;" | "&amp;TRIM($I162)))</f>
        <v/>
      </c>
      <c r="L162" s="36" t="str">
        <f aca="false">IF($B162="","",SUMPRODUCT(--ISNUMBER(SEARCH(SensorKW,$K162)))&gt;0)</f>
        <v/>
      </c>
      <c r="M162" s="36" t="str">
        <f aca="false">IF($B162="","",SUMPRODUCT(--ISNUMBER(SEARCH(DisplayKW,$K162)))&gt;0)</f>
        <v/>
      </c>
      <c r="N162" s="36" t="str">
        <f aca="false">IF($B162="","",SUMPRODUCT(--ISNUMBER(SEARCH(KeypadKW,$K162)))&gt;0)</f>
        <v/>
      </c>
      <c r="O162" s="36" t="str">
        <f aca="false">IF($B162="","",SUMPRODUCT(--ISNUMBER(SEARCH(PowerKW,$K162)))&gt;0)</f>
        <v/>
      </c>
      <c r="P162" s="36" t="str">
        <f aca="false">IF($B162="","",SUMPRODUCT(--ISNUMBER(SEARCH(SpeakerKW,$K162)))&gt;0)</f>
        <v/>
      </c>
      <c r="Q162" s="36" t="str">
        <f aca="false">IF($B162="","",OR(SUMPRODUCT(--ISNUMBER(SEARCH(EmptyKW,$K162)))&gt;0,LOWER(TRIM($F162))="empty"))</f>
        <v/>
      </c>
      <c r="R162" s="36" t="str">
        <f aca="false">IF($B162="","",OR(ISNUMBER(SEARCH("repair",$G162)),ISNUMBER(SEARCH("not working",$G162))))</f>
        <v/>
      </c>
      <c r="S162" s="36" t="str">
        <f aca="false">IF(AND($B162&lt;&gt;"",$M162=TRUE(),$L162=FALSE(),$Q162=FALSE()),COUNTIFS($M$3:$M162,TRUE(),$L$3:$L162,FALSE(),$Q$3:$Q162,FALSE()),"")</f>
        <v/>
      </c>
      <c r="T162" s="36" t="str">
        <f aca="false">IF($B162="","",IF($Q162=TRUE(),"U1",IF($L162=TRUE(),"S1",IF($M162=TRUE(),"D"&amp;MIN(4,INT(($S162-1)/DisplayCapacity)+1),IF($N162=TRUE(),"K1",IF($O162=TRUE(),"P1",IF($P162=TRUE(),"U1",IF($R162=TRUE(),"U1","W"))))))))</f>
        <v/>
      </c>
      <c r="U162" s="36" t="str">
        <f aca="false">IF($T162="","",$T162&amp;"-"&amp;COUNTIF($T$3:T162,$T162))</f>
        <v/>
      </c>
      <c r="V162" s="36" t="str">
        <f aca="false">IF($B162="","",_xlfn.TEXTJOIN(" | ",TRUE(),IF($Q162=TRUE(),"Empty box - no physical device, verify status",""),IF(AND($P162=TRUE(),$L162=FALSE(),$M162=FALSE(),$N162=FALSE(),$O162=FALSE(),$Q162=FALSE()),"Speaker fault only - needs manual box assignment",""),IF(AND($R162=TRUE(),$L162=FALSE(),$M162=FALSE(),$N162=FALSE(),$O162=FALSE(),$P162=FALSE(),$Q162=FALSE()),"No fault detail given - needs technician inspection",""),IF(AND(COUNTIF($F$3:$F$252,$F162)&gt;1,LOWER(TRIM($F162))&lt;&gt;"empty"),"Duplicate Serial No - verify device identity",""),IF((--$L162+--$M162+--$N162+--$O162+--$P162)&gt;1,"Multiple fault types detected - review full details before repair","")))</f>
        <v/>
      </c>
      <c r="W162" s="36"/>
      <c r="X162" s="36"/>
    </row>
    <row r="163" customFormat="false" ht="15" hidden="false" customHeight="true" outlineLevel="0" collapsed="false">
      <c r="A163" s="36" t="str">
        <f aca="false">IF($B163="","",161)</f>
        <v/>
      </c>
      <c r="B163" s="37"/>
      <c r="C163" s="36"/>
      <c r="D163" s="36" t="str">
        <f aca="false">IF($B163="","",IFERROR(VLOOKUP(TRIM($C163),ModelMap,2,FALSE()),TRIM($C163)))</f>
        <v/>
      </c>
      <c r="E163" s="36"/>
      <c r="F163" s="36"/>
      <c r="G163" s="36"/>
      <c r="H163" s="36"/>
      <c r="I163" s="36"/>
      <c r="J163" s="36"/>
      <c r="K163" s="36" t="str">
        <f aca="false">IF($B163="","",LOWER(TRIM($G163)&amp;" | "&amp;TRIM($H163)&amp;" | "&amp;TRIM($I163)))</f>
        <v/>
      </c>
      <c r="L163" s="36" t="str">
        <f aca="false">IF($B163="","",SUMPRODUCT(--ISNUMBER(SEARCH(SensorKW,$K163)))&gt;0)</f>
        <v/>
      </c>
      <c r="M163" s="36" t="str">
        <f aca="false">IF($B163="","",SUMPRODUCT(--ISNUMBER(SEARCH(DisplayKW,$K163)))&gt;0)</f>
        <v/>
      </c>
      <c r="N163" s="36" t="str">
        <f aca="false">IF($B163="","",SUMPRODUCT(--ISNUMBER(SEARCH(KeypadKW,$K163)))&gt;0)</f>
        <v/>
      </c>
      <c r="O163" s="36" t="str">
        <f aca="false">IF($B163="","",SUMPRODUCT(--ISNUMBER(SEARCH(PowerKW,$K163)))&gt;0)</f>
        <v/>
      </c>
      <c r="P163" s="36" t="str">
        <f aca="false">IF($B163="","",SUMPRODUCT(--ISNUMBER(SEARCH(SpeakerKW,$K163)))&gt;0)</f>
        <v/>
      </c>
      <c r="Q163" s="36" t="str">
        <f aca="false">IF($B163="","",OR(SUMPRODUCT(--ISNUMBER(SEARCH(EmptyKW,$K163)))&gt;0,LOWER(TRIM($F163))="empty"))</f>
        <v/>
      </c>
      <c r="R163" s="36" t="str">
        <f aca="false">IF($B163="","",OR(ISNUMBER(SEARCH("repair",$G163)),ISNUMBER(SEARCH("not working",$G163))))</f>
        <v/>
      </c>
      <c r="S163" s="36" t="str">
        <f aca="false">IF(AND($B163&lt;&gt;"",$M163=TRUE(),$L163=FALSE(),$Q163=FALSE()),COUNTIFS($M$3:$M163,TRUE(),$L$3:$L163,FALSE(),$Q$3:$Q163,FALSE()),"")</f>
        <v/>
      </c>
      <c r="T163" s="36" t="str">
        <f aca="false">IF($B163="","",IF($Q163=TRUE(),"U1",IF($L163=TRUE(),"S1",IF($M163=TRUE(),"D"&amp;MIN(4,INT(($S163-1)/DisplayCapacity)+1),IF($N163=TRUE(),"K1",IF($O163=TRUE(),"P1",IF($P163=TRUE(),"U1",IF($R163=TRUE(),"U1","W"))))))))</f>
        <v/>
      </c>
      <c r="U163" s="36" t="str">
        <f aca="false">IF($T163="","",$T163&amp;"-"&amp;COUNTIF($T$3:T163,$T163))</f>
        <v/>
      </c>
      <c r="V163" s="36" t="str">
        <f aca="false">IF($B163="","",_xlfn.TEXTJOIN(" | ",TRUE(),IF($Q163=TRUE(),"Empty box - no physical device, verify status",""),IF(AND($P163=TRUE(),$L163=FALSE(),$M163=FALSE(),$N163=FALSE(),$O163=FALSE(),$Q163=FALSE()),"Speaker fault only - needs manual box assignment",""),IF(AND($R163=TRUE(),$L163=FALSE(),$M163=FALSE(),$N163=FALSE(),$O163=FALSE(),$P163=FALSE(),$Q163=FALSE()),"No fault detail given - needs technician inspection",""),IF(AND(COUNTIF($F$3:$F$252,$F163)&gt;1,LOWER(TRIM($F163))&lt;&gt;"empty"),"Duplicate Serial No - verify device identity",""),IF((--$L163+--$M163+--$N163+--$O163+--$P163)&gt;1,"Multiple fault types detected - review full details before repair","")))</f>
        <v/>
      </c>
      <c r="W163" s="36"/>
      <c r="X163" s="36"/>
    </row>
    <row r="164" customFormat="false" ht="15" hidden="false" customHeight="true" outlineLevel="0" collapsed="false">
      <c r="A164" s="36" t="str">
        <f aca="false">IF($B164="","",162)</f>
        <v/>
      </c>
      <c r="B164" s="37"/>
      <c r="C164" s="36"/>
      <c r="D164" s="36" t="str">
        <f aca="false">IF($B164="","",IFERROR(VLOOKUP(TRIM($C164),ModelMap,2,FALSE()),TRIM($C164)))</f>
        <v/>
      </c>
      <c r="E164" s="36"/>
      <c r="F164" s="36"/>
      <c r="G164" s="36"/>
      <c r="H164" s="36"/>
      <c r="I164" s="36"/>
      <c r="J164" s="36"/>
      <c r="K164" s="36" t="str">
        <f aca="false">IF($B164="","",LOWER(TRIM($G164)&amp;" | "&amp;TRIM($H164)&amp;" | "&amp;TRIM($I164)))</f>
        <v/>
      </c>
      <c r="L164" s="36" t="str">
        <f aca="false">IF($B164="","",SUMPRODUCT(--ISNUMBER(SEARCH(SensorKW,$K164)))&gt;0)</f>
        <v/>
      </c>
      <c r="M164" s="36" t="str">
        <f aca="false">IF($B164="","",SUMPRODUCT(--ISNUMBER(SEARCH(DisplayKW,$K164)))&gt;0)</f>
        <v/>
      </c>
      <c r="N164" s="36" t="str">
        <f aca="false">IF($B164="","",SUMPRODUCT(--ISNUMBER(SEARCH(KeypadKW,$K164)))&gt;0)</f>
        <v/>
      </c>
      <c r="O164" s="36" t="str">
        <f aca="false">IF($B164="","",SUMPRODUCT(--ISNUMBER(SEARCH(PowerKW,$K164)))&gt;0)</f>
        <v/>
      </c>
      <c r="P164" s="36" t="str">
        <f aca="false">IF($B164="","",SUMPRODUCT(--ISNUMBER(SEARCH(SpeakerKW,$K164)))&gt;0)</f>
        <v/>
      </c>
      <c r="Q164" s="36" t="str">
        <f aca="false">IF($B164="","",OR(SUMPRODUCT(--ISNUMBER(SEARCH(EmptyKW,$K164)))&gt;0,LOWER(TRIM($F164))="empty"))</f>
        <v/>
      </c>
      <c r="R164" s="36" t="str">
        <f aca="false">IF($B164="","",OR(ISNUMBER(SEARCH("repair",$G164)),ISNUMBER(SEARCH("not working",$G164))))</f>
        <v/>
      </c>
      <c r="S164" s="36" t="str">
        <f aca="false">IF(AND($B164&lt;&gt;"",$M164=TRUE(),$L164=FALSE(),$Q164=FALSE()),COUNTIFS($M$3:$M164,TRUE(),$L$3:$L164,FALSE(),$Q$3:$Q164,FALSE()),"")</f>
        <v/>
      </c>
      <c r="T164" s="36" t="str">
        <f aca="false">IF($B164="","",IF($Q164=TRUE(),"U1",IF($L164=TRUE(),"S1",IF($M164=TRUE(),"D"&amp;MIN(4,INT(($S164-1)/DisplayCapacity)+1),IF($N164=TRUE(),"K1",IF($O164=TRUE(),"P1",IF($P164=TRUE(),"U1",IF($R164=TRUE(),"U1","W"))))))))</f>
        <v/>
      </c>
      <c r="U164" s="36" t="str">
        <f aca="false">IF($T164="","",$T164&amp;"-"&amp;COUNTIF($T$3:T164,$T164))</f>
        <v/>
      </c>
      <c r="V164" s="36" t="str">
        <f aca="false">IF($B164="","",_xlfn.TEXTJOIN(" | ",TRUE(),IF($Q164=TRUE(),"Empty box - no physical device, verify status",""),IF(AND($P164=TRUE(),$L164=FALSE(),$M164=FALSE(),$N164=FALSE(),$O164=FALSE(),$Q164=FALSE()),"Speaker fault only - needs manual box assignment",""),IF(AND($R164=TRUE(),$L164=FALSE(),$M164=FALSE(),$N164=FALSE(),$O164=FALSE(),$P164=FALSE(),$Q164=FALSE()),"No fault detail given - needs technician inspection",""),IF(AND(COUNTIF($F$3:$F$252,$F164)&gt;1,LOWER(TRIM($F164))&lt;&gt;"empty"),"Duplicate Serial No - verify device identity",""),IF((--$L164+--$M164+--$N164+--$O164+--$P164)&gt;1,"Multiple fault types detected - review full details before repair","")))</f>
        <v/>
      </c>
      <c r="W164" s="36"/>
      <c r="X164" s="36"/>
    </row>
    <row r="165" customFormat="false" ht="15" hidden="false" customHeight="true" outlineLevel="0" collapsed="false">
      <c r="A165" s="36" t="str">
        <f aca="false">IF($B165="","",163)</f>
        <v/>
      </c>
      <c r="B165" s="37"/>
      <c r="C165" s="36"/>
      <c r="D165" s="36" t="str">
        <f aca="false">IF($B165="","",IFERROR(VLOOKUP(TRIM($C165),ModelMap,2,FALSE()),TRIM($C165)))</f>
        <v/>
      </c>
      <c r="E165" s="36"/>
      <c r="F165" s="36"/>
      <c r="G165" s="36"/>
      <c r="H165" s="36"/>
      <c r="I165" s="36"/>
      <c r="J165" s="36"/>
      <c r="K165" s="36" t="str">
        <f aca="false">IF($B165="","",LOWER(TRIM($G165)&amp;" | "&amp;TRIM($H165)&amp;" | "&amp;TRIM($I165)))</f>
        <v/>
      </c>
      <c r="L165" s="36" t="str">
        <f aca="false">IF($B165="","",SUMPRODUCT(--ISNUMBER(SEARCH(SensorKW,$K165)))&gt;0)</f>
        <v/>
      </c>
      <c r="M165" s="36" t="str">
        <f aca="false">IF($B165="","",SUMPRODUCT(--ISNUMBER(SEARCH(DisplayKW,$K165)))&gt;0)</f>
        <v/>
      </c>
      <c r="N165" s="36" t="str">
        <f aca="false">IF($B165="","",SUMPRODUCT(--ISNUMBER(SEARCH(KeypadKW,$K165)))&gt;0)</f>
        <v/>
      </c>
      <c r="O165" s="36" t="str">
        <f aca="false">IF($B165="","",SUMPRODUCT(--ISNUMBER(SEARCH(PowerKW,$K165)))&gt;0)</f>
        <v/>
      </c>
      <c r="P165" s="36" t="str">
        <f aca="false">IF($B165="","",SUMPRODUCT(--ISNUMBER(SEARCH(SpeakerKW,$K165)))&gt;0)</f>
        <v/>
      </c>
      <c r="Q165" s="36" t="str">
        <f aca="false">IF($B165="","",OR(SUMPRODUCT(--ISNUMBER(SEARCH(EmptyKW,$K165)))&gt;0,LOWER(TRIM($F165))="empty"))</f>
        <v/>
      </c>
      <c r="R165" s="36" t="str">
        <f aca="false">IF($B165="","",OR(ISNUMBER(SEARCH("repair",$G165)),ISNUMBER(SEARCH("not working",$G165))))</f>
        <v/>
      </c>
      <c r="S165" s="36" t="str">
        <f aca="false">IF(AND($B165&lt;&gt;"",$M165=TRUE(),$L165=FALSE(),$Q165=FALSE()),COUNTIFS($M$3:$M165,TRUE(),$L$3:$L165,FALSE(),$Q$3:$Q165,FALSE()),"")</f>
        <v/>
      </c>
      <c r="T165" s="36" t="str">
        <f aca="false">IF($B165="","",IF($Q165=TRUE(),"U1",IF($L165=TRUE(),"S1",IF($M165=TRUE(),"D"&amp;MIN(4,INT(($S165-1)/DisplayCapacity)+1),IF($N165=TRUE(),"K1",IF($O165=TRUE(),"P1",IF($P165=TRUE(),"U1",IF($R165=TRUE(),"U1","W"))))))))</f>
        <v/>
      </c>
      <c r="U165" s="36" t="str">
        <f aca="false">IF($T165="","",$T165&amp;"-"&amp;COUNTIF($T$3:T165,$T165))</f>
        <v/>
      </c>
      <c r="V165" s="36" t="str">
        <f aca="false">IF($B165="","",_xlfn.TEXTJOIN(" | ",TRUE(),IF($Q165=TRUE(),"Empty box - no physical device, verify status",""),IF(AND($P165=TRUE(),$L165=FALSE(),$M165=FALSE(),$N165=FALSE(),$O165=FALSE(),$Q165=FALSE()),"Speaker fault only - needs manual box assignment",""),IF(AND($R165=TRUE(),$L165=FALSE(),$M165=FALSE(),$N165=FALSE(),$O165=FALSE(),$P165=FALSE(),$Q165=FALSE()),"No fault detail given - needs technician inspection",""),IF(AND(COUNTIF($F$3:$F$252,$F165)&gt;1,LOWER(TRIM($F165))&lt;&gt;"empty"),"Duplicate Serial No - verify device identity",""),IF((--$L165+--$M165+--$N165+--$O165+--$P165)&gt;1,"Multiple fault types detected - review full details before repair","")))</f>
        <v/>
      </c>
      <c r="W165" s="36"/>
      <c r="X165" s="36"/>
    </row>
    <row r="166" customFormat="false" ht="15" hidden="false" customHeight="true" outlineLevel="0" collapsed="false">
      <c r="A166" s="36" t="str">
        <f aca="false">IF($B166="","",164)</f>
        <v/>
      </c>
      <c r="B166" s="37"/>
      <c r="C166" s="36"/>
      <c r="D166" s="36" t="str">
        <f aca="false">IF($B166="","",IFERROR(VLOOKUP(TRIM($C166),ModelMap,2,FALSE()),TRIM($C166)))</f>
        <v/>
      </c>
      <c r="E166" s="36"/>
      <c r="F166" s="36"/>
      <c r="G166" s="36"/>
      <c r="H166" s="36"/>
      <c r="I166" s="36"/>
      <c r="J166" s="36"/>
      <c r="K166" s="36" t="str">
        <f aca="false">IF($B166="","",LOWER(TRIM($G166)&amp;" | "&amp;TRIM($H166)&amp;" | "&amp;TRIM($I166)))</f>
        <v/>
      </c>
      <c r="L166" s="36" t="str">
        <f aca="false">IF($B166="","",SUMPRODUCT(--ISNUMBER(SEARCH(SensorKW,$K166)))&gt;0)</f>
        <v/>
      </c>
      <c r="M166" s="36" t="str">
        <f aca="false">IF($B166="","",SUMPRODUCT(--ISNUMBER(SEARCH(DisplayKW,$K166)))&gt;0)</f>
        <v/>
      </c>
      <c r="N166" s="36" t="str">
        <f aca="false">IF($B166="","",SUMPRODUCT(--ISNUMBER(SEARCH(KeypadKW,$K166)))&gt;0)</f>
        <v/>
      </c>
      <c r="O166" s="36" t="str">
        <f aca="false">IF($B166="","",SUMPRODUCT(--ISNUMBER(SEARCH(PowerKW,$K166)))&gt;0)</f>
        <v/>
      </c>
      <c r="P166" s="36" t="str">
        <f aca="false">IF($B166="","",SUMPRODUCT(--ISNUMBER(SEARCH(SpeakerKW,$K166)))&gt;0)</f>
        <v/>
      </c>
      <c r="Q166" s="36" t="str">
        <f aca="false">IF($B166="","",OR(SUMPRODUCT(--ISNUMBER(SEARCH(EmptyKW,$K166)))&gt;0,LOWER(TRIM($F166))="empty"))</f>
        <v/>
      </c>
      <c r="R166" s="36" t="str">
        <f aca="false">IF($B166="","",OR(ISNUMBER(SEARCH("repair",$G166)),ISNUMBER(SEARCH("not working",$G166))))</f>
        <v/>
      </c>
      <c r="S166" s="36" t="str">
        <f aca="false">IF(AND($B166&lt;&gt;"",$M166=TRUE(),$L166=FALSE(),$Q166=FALSE()),COUNTIFS($M$3:$M166,TRUE(),$L$3:$L166,FALSE(),$Q$3:$Q166,FALSE()),"")</f>
        <v/>
      </c>
      <c r="T166" s="36" t="str">
        <f aca="false">IF($B166="","",IF($Q166=TRUE(),"U1",IF($L166=TRUE(),"S1",IF($M166=TRUE(),"D"&amp;MIN(4,INT(($S166-1)/DisplayCapacity)+1),IF($N166=TRUE(),"K1",IF($O166=TRUE(),"P1",IF($P166=TRUE(),"U1",IF($R166=TRUE(),"U1","W"))))))))</f>
        <v/>
      </c>
      <c r="U166" s="36" t="str">
        <f aca="false">IF($T166="","",$T166&amp;"-"&amp;COUNTIF($T$3:T166,$T166))</f>
        <v/>
      </c>
      <c r="V166" s="36" t="str">
        <f aca="false">IF($B166="","",_xlfn.TEXTJOIN(" | ",TRUE(),IF($Q166=TRUE(),"Empty box - no physical device, verify status",""),IF(AND($P166=TRUE(),$L166=FALSE(),$M166=FALSE(),$N166=FALSE(),$O166=FALSE(),$Q166=FALSE()),"Speaker fault only - needs manual box assignment",""),IF(AND($R166=TRUE(),$L166=FALSE(),$M166=FALSE(),$N166=FALSE(),$O166=FALSE(),$P166=FALSE(),$Q166=FALSE()),"No fault detail given - needs technician inspection",""),IF(AND(COUNTIF($F$3:$F$252,$F166)&gt;1,LOWER(TRIM($F166))&lt;&gt;"empty"),"Duplicate Serial No - verify device identity",""),IF((--$L166+--$M166+--$N166+--$O166+--$P166)&gt;1,"Multiple fault types detected - review full details before repair","")))</f>
        <v/>
      </c>
      <c r="W166" s="36"/>
      <c r="X166" s="36"/>
    </row>
    <row r="167" customFormat="false" ht="15" hidden="false" customHeight="true" outlineLevel="0" collapsed="false">
      <c r="A167" s="36" t="str">
        <f aca="false">IF($B167="","",165)</f>
        <v/>
      </c>
      <c r="B167" s="37"/>
      <c r="C167" s="36"/>
      <c r="D167" s="36" t="str">
        <f aca="false">IF($B167="","",IFERROR(VLOOKUP(TRIM($C167),ModelMap,2,FALSE()),TRIM($C167)))</f>
        <v/>
      </c>
      <c r="E167" s="36"/>
      <c r="F167" s="36"/>
      <c r="G167" s="36"/>
      <c r="H167" s="36"/>
      <c r="I167" s="36"/>
      <c r="J167" s="36"/>
      <c r="K167" s="36" t="str">
        <f aca="false">IF($B167="","",LOWER(TRIM($G167)&amp;" | "&amp;TRIM($H167)&amp;" | "&amp;TRIM($I167)))</f>
        <v/>
      </c>
      <c r="L167" s="36" t="str">
        <f aca="false">IF($B167="","",SUMPRODUCT(--ISNUMBER(SEARCH(SensorKW,$K167)))&gt;0)</f>
        <v/>
      </c>
      <c r="M167" s="36" t="str">
        <f aca="false">IF($B167="","",SUMPRODUCT(--ISNUMBER(SEARCH(DisplayKW,$K167)))&gt;0)</f>
        <v/>
      </c>
      <c r="N167" s="36" t="str">
        <f aca="false">IF($B167="","",SUMPRODUCT(--ISNUMBER(SEARCH(KeypadKW,$K167)))&gt;0)</f>
        <v/>
      </c>
      <c r="O167" s="36" t="str">
        <f aca="false">IF($B167="","",SUMPRODUCT(--ISNUMBER(SEARCH(PowerKW,$K167)))&gt;0)</f>
        <v/>
      </c>
      <c r="P167" s="36" t="str">
        <f aca="false">IF($B167="","",SUMPRODUCT(--ISNUMBER(SEARCH(SpeakerKW,$K167)))&gt;0)</f>
        <v/>
      </c>
      <c r="Q167" s="36" t="str">
        <f aca="false">IF($B167="","",OR(SUMPRODUCT(--ISNUMBER(SEARCH(EmptyKW,$K167)))&gt;0,LOWER(TRIM($F167))="empty"))</f>
        <v/>
      </c>
      <c r="R167" s="36" t="str">
        <f aca="false">IF($B167="","",OR(ISNUMBER(SEARCH("repair",$G167)),ISNUMBER(SEARCH("not working",$G167))))</f>
        <v/>
      </c>
      <c r="S167" s="36" t="str">
        <f aca="false">IF(AND($B167&lt;&gt;"",$M167=TRUE(),$L167=FALSE(),$Q167=FALSE()),COUNTIFS($M$3:$M167,TRUE(),$L$3:$L167,FALSE(),$Q$3:$Q167,FALSE()),"")</f>
        <v/>
      </c>
      <c r="T167" s="36" t="str">
        <f aca="false">IF($B167="","",IF($Q167=TRUE(),"U1",IF($L167=TRUE(),"S1",IF($M167=TRUE(),"D"&amp;MIN(4,INT(($S167-1)/DisplayCapacity)+1),IF($N167=TRUE(),"K1",IF($O167=TRUE(),"P1",IF($P167=TRUE(),"U1",IF($R167=TRUE(),"U1","W"))))))))</f>
        <v/>
      </c>
      <c r="U167" s="36" t="str">
        <f aca="false">IF($T167="","",$T167&amp;"-"&amp;COUNTIF($T$3:T167,$T167))</f>
        <v/>
      </c>
      <c r="V167" s="36" t="str">
        <f aca="false">IF($B167="","",_xlfn.TEXTJOIN(" | ",TRUE(),IF($Q167=TRUE(),"Empty box - no physical device, verify status",""),IF(AND($P167=TRUE(),$L167=FALSE(),$M167=FALSE(),$N167=FALSE(),$O167=FALSE(),$Q167=FALSE()),"Speaker fault only - needs manual box assignment",""),IF(AND($R167=TRUE(),$L167=FALSE(),$M167=FALSE(),$N167=FALSE(),$O167=FALSE(),$P167=FALSE(),$Q167=FALSE()),"No fault detail given - needs technician inspection",""),IF(AND(COUNTIF($F$3:$F$252,$F167)&gt;1,LOWER(TRIM($F167))&lt;&gt;"empty"),"Duplicate Serial No - verify device identity",""),IF((--$L167+--$M167+--$N167+--$O167+--$P167)&gt;1,"Multiple fault types detected - review full details before repair","")))</f>
        <v/>
      </c>
      <c r="W167" s="36"/>
      <c r="X167" s="36"/>
    </row>
    <row r="168" customFormat="false" ht="15" hidden="false" customHeight="true" outlineLevel="0" collapsed="false">
      <c r="A168" s="36" t="str">
        <f aca="false">IF($B168="","",166)</f>
        <v/>
      </c>
      <c r="B168" s="37"/>
      <c r="C168" s="36"/>
      <c r="D168" s="36" t="str">
        <f aca="false">IF($B168="","",IFERROR(VLOOKUP(TRIM($C168),ModelMap,2,FALSE()),TRIM($C168)))</f>
        <v/>
      </c>
      <c r="E168" s="36"/>
      <c r="F168" s="36"/>
      <c r="G168" s="36"/>
      <c r="H168" s="36"/>
      <c r="I168" s="36"/>
      <c r="J168" s="36"/>
      <c r="K168" s="36" t="str">
        <f aca="false">IF($B168="","",LOWER(TRIM($G168)&amp;" | "&amp;TRIM($H168)&amp;" | "&amp;TRIM($I168)))</f>
        <v/>
      </c>
      <c r="L168" s="36" t="str">
        <f aca="false">IF($B168="","",SUMPRODUCT(--ISNUMBER(SEARCH(SensorKW,$K168)))&gt;0)</f>
        <v/>
      </c>
      <c r="M168" s="36" t="str">
        <f aca="false">IF($B168="","",SUMPRODUCT(--ISNUMBER(SEARCH(DisplayKW,$K168)))&gt;0)</f>
        <v/>
      </c>
      <c r="N168" s="36" t="str">
        <f aca="false">IF($B168="","",SUMPRODUCT(--ISNUMBER(SEARCH(KeypadKW,$K168)))&gt;0)</f>
        <v/>
      </c>
      <c r="O168" s="36" t="str">
        <f aca="false">IF($B168="","",SUMPRODUCT(--ISNUMBER(SEARCH(PowerKW,$K168)))&gt;0)</f>
        <v/>
      </c>
      <c r="P168" s="36" t="str">
        <f aca="false">IF($B168="","",SUMPRODUCT(--ISNUMBER(SEARCH(SpeakerKW,$K168)))&gt;0)</f>
        <v/>
      </c>
      <c r="Q168" s="36" t="str">
        <f aca="false">IF($B168="","",OR(SUMPRODUCT(--ISNUMBER(SEARCH(EmptyKW,$K168)))&gt;0,LOWER(TRIM($F168))="empty"))</f>
        <v/>
      </c>
      <c r="R168" s="36" t="str">
        <f aca="false">IF($B168="","",OR(ISNUMBER(SEARCH("repair",$G168)),ISNUMBER(SEARCH("not working",$G168))))</f>
        <v/>
      </c>
      <c r="S168" s="36" t="str">
        <f aca="false">IF(AND($B168&lt;&gt;"",$M168=TRUE(),$L168=FALSE(),$Q168=FALSE()),COUNTIFS($M$3:$M168,TRUE(),$L$3:$L168,FALSE(),$Q$3:$Q168,FALSE()),"")</f>
        <v/>
      </c>
      <c r="T168" s="36" t="str">
        <f aca="false">IF($B168="","",IF($Q168=TRUE(),"U1",IF($L168=TRUE(),"S1",IF($M168=TRUE(),"D"&amp;MIN(4,INT(($S168-1)/DisplayCapacity)+1),IF($N168=TRUE(),"K1",IF($O168=TRUE(),"P1",IF($P168=TRUE(),"U1",IF($R168=TRUE(),"U1","W"))))))))</f>
        <v/>
      </c>
      <c r="U168" s="36" t="str">
        <f aca="false">IF($T168="","",$T168&amp;"-"&amp;COUNTIF($T$3:T168,$T168))</f>
        <v/>
      </c>
      <c r="V168" s="36" t="str">
        <f aca="false">IF($B168="","",_xlfn.TEXTJOIN(" | ",TRUE(),IF($Q168=TRUE(),"Empty box - no physical device, verify status",""),IF(AND($P168=TRUE(),$L168=FALSE(),$M168=FALSE(),$N168=FALSE(),$O168=FALSE(),$Q168=FALSE()),"Speaker fault only - needs manual box assignment",""),IF(AND($R168=TRUE(),$L168=FALSE(),$M168=FALSE(),$N168=FALSE(),$O168=FALSE(),$P168=FALSE(),$Q168=FALSE()),"No fault detail given - needs technician inspection",""),IF(AND(COUNTIF($F$3:$F$252,$F168)&gt;1,LOWER(TRIM($F168))&lt;&gt;"empty"),"Duplicate Serial No - verify device identity",""),IF((--$L168+--$M168+--$N168+--$O168+--$P168)&gt;1,"Multiple fault types detected - review full details before repair","")))</f>
        <v/>
      </c>
      <c r="W168" s="36"/>
      <c r="X168" s="36"/>
    </row>
    <row r="169" customFormat="false" ht="15" hidden="false" customHeight="true" outlineLevel="0" collapsed="false">
      <c r="A169" s="36" t="str">
        <f aca="false">IF($B169="","",167)</f>
        <v/>
      </c>
      <c r="B169" s="37"/>
      <c r="C169" s="36"/>
      <c r="D169" s="36" t="str">
        <f aca="false">IF($B169="","",IFERROR(VLOOKUP(TRIM($C169),ModelMap,2,FALSE()),TRIM($C169)))</f>
        <v/>
      </c>
      <c r="E169" s="36"/>
      <c r="F169" s="36"/>
      <c r="G169" s="36"/>
      <c r="H169" s="36"/>
      <c r="I169" s="36"/>
      <c r="J169" s="36"/>
      <c r="K169" s="36" t="str">
        <f aca="false">IF($B169="","",LOWER(TRIM($G169)&amp;" | "&amp;TRIM($H169)&amp;" | "&amp;TRIM($I169)))</f>
        <v/>
      </c>
      <c r="L169" s="36" t="str">
        <f aca="false">IF($B169="","",SUMPRODUCT(--ISNUMBER(SEARCH(SensorKW,$K169)))&gt;0)</f>
        <v/>
      </c>
      <c r="M169" s="36" t="str">
        <f aca="false">IF($B169="","",SUMPRODUCT(--ISNUMBER(SEARCH(DisplayKW,$K169)))&gt;0)</f>
        <v/>
      </c>
      <c r="N169" s="36" t="str">
        <f aca="false">IF($B169="","",SUMPRODUCT(--ISNUMBER(SEARCH(KeypadKW,$K169)))&gt;0)</f>
        <v/>
      </c>
      <c r="O169" s="36" t="str">
        <f aca="false">IF($B169="","",SUMPRODUCT(--ISNUMBER(SEARCH(PowerKW,$K169)))&gt;0)</f>
        <v/>
      </c>
      <c r="P169" s="36" t="str">
        <f aca="false">IF($B169="","",SUMPRODUCT(--ISNUMBER(SEARCH(SpeakerKW,$K169)))&gt;0)</f>
        <v/>
      </c>
      <c r="Q169" s="36" t="str">
        <f aca="false">IF($B169="","",OR(SUMPRODUCT(--ISNUMBER(SEARCH(EmptyKW,$K169)))&gt;0,LOWER(TRIM($F169))="empty"))</f>
        <v/>
      </c>
      <c r="R169" s="36" t="str">
        <f aca="false">IF($B169="","",OR(ISNUMBER(SEARCH("repair",$G169)),ISNUMBER(SEARCH("not working",$G169))))</f>
        <v/>
      </c>
      <c r="S169" s="36" t="str">
        <f aca="false">IF(AND($B169&lt;&gt;"",$M169=TRUE(),$L169=FALSE(),$Q169=FALSE()),COUNTIFS($M$3:$M169,TRUE(),$L$3:$L169,FALSE(),$Q$3:$Q169,FALSE()),"")</f>
        <v/>
      </c>
      <c r="T169" s="36" t="str">
        <f aca="false">IF($B169="","",IF($Q169=TRUE(),"U1",IF($L169=TRUE(),"S1",IF($M169=TRUE(),"D"&amp;MIN(4,INT(($S169-1)/DisplayCapacity)+1),IF($N169=TRUE(),"K1",IF($O169=TRUE(),"P1",IF($P169=TRUE(),"U1",IF($R169=TRUE(),"U1","W"))))))))</f>
        <v/>
      </c>
      <c r="U169" s="36" t="str">
        <f aca="false">IF($T169="","",$T169&amp;"-"&amp;COUNTIF($T$3:T169,$T169))</f>
        <v/>
      </c>
      <c r="V169" s="36" t="str">
        <f aca="false">IF($B169="","",_xlfn.TEXTJOIN(" | ",TRUE(),IF($Q169=TRUE(),"Empty box - no physical device, verify status",""),IF(AND($P169=TRUE(),$L169=FALSE(),$M169=FALSE(),$N169=FALSE(),$O169=FALSE(),$Q169=FALSE()),"Speaker fault only - needs manual box assignment",""),IF(AND($R169=TRUE(),$L169=FALSE(),$M169=FALSE(),$N169=FALSE(),$O169=FALSE(),$P169=FALSE(),$Q169=FALSE()),"No fault detail given - needs technician inspection",""),IF(AND(COUNTIF($F$3:$F$252,$F169)&gt;1,LOWER(TRIM($F169))&lt;&gt;"empty"),"Duplicate Serial No - verify device identity",""),IF((--$L169+--$M169+--$N169+--$O169+--$P169)&gt;1,"Multiple fault types detected - review full details before repair","")))</f>
        <v/>
      </c>
      <c r="W169" s="36"/>
      <c r="X169" s="36"/>
    </row>
    <row r="170" customFormat="false" ht="15" hidden="false" customHeight="true" outlineLevel="0" collapsed="false">
      <c r="A170" s="36" t="str">
        <f aca="false">IF($B170="","",168)</f>
        <v/>
      </c>
      <c r="B170" s="37"/>
      <c r="C170" s="36"/>
      <c r="D170" s="36" t="str">
        <f aca="false">IF($B170="","",IFERROR(VLOOKUP(TRIM($C170),ModelMap,2,FALSE()),TRIM($C170)))</f>
        <v/>
      </c>
      <c r="E170" s="36"/>
      <c r="F170" s="36"/>
      <c r="G170" s="36"/>
      <c r="H170" s="36"/>
      <c r="I170" s="36"/>
      <c r="J170" s="36"/>
      <c r="K170" s="36" t="str">
        <f aca="false">IF($B170="","",LOWER(TRIM($G170)&amp;" | "&amp;TRIM($H170)&amp;" | "&amp;TRIM($I170)))</f>
        <v/>
      </c>
      <c r="L170" s="36" t="str">
        <f aca="false">IF($B170="","",SUMPRODUCT(--ISNUMBER(SEARCH(SensorKW,$K170)))&gt;0)</f>
        <v/>
      </c>
      <c r="M170" s="36" t="str">
        <f aca="false">IF($B170="","",SUMPRODUCT(--ISNUMBER(SEARCH(DisplayKW,$K170)))&gt;0)</f>
        <v/>
      </c>
      <c r="N170" s="36" t="str">
        <f aca="false">IF($B170="","",SUMPRODUCT(--ISNUMBER(SEARCH(KeypadKW,$K170)))&gt;0)</f>
        <v/>
      </c>
      <c r="O170" s="36" t="str">
        <f aca="false">IF($B170="","",SUMPRODUCT(--ISNUMBER(SEARCH(PowerKW,$K170)))&gt;0)</f>
        <v/>
      </c>
      <c r="P170" s="36" t="str">
        <f aca="false">IF($B170="","",SUMPRODUCT(--ISNUMBER(SEARCH(SpeakerKW,$K170)))&gt;0)</f>
        <v/>
      </c>
      <c r="Q170" s="36" t="str">
        <f aca="false">IF($B170="","",OR(SUMPRODUCT(--ISNUMBER(SEARCH(EmptyKW,$K170)))&gt;0,LOWER(TRIM($F170))="empty"))</f>
        <v/>
      </c>
      <c r="R170" s="36" t="str">
        <f aca="false">IF($B170="","",OR(ISNUMBER(SEARCH("repair",$G170)),ISNUMBER(SEARCH("not working",$G170))))</f>
        <v/>
      </c>
      <c r="S170" s="36" t="str">
        <f aca="false">IF(AND($B170&lt;&gt;"",$M170=TRUE(),$L170=FALSE(),$Q170=FALSE()),COUNTIFS($M$3:$M170,TRUE(),$L$3:$L170,FALSE(),$Q$3:$Q170,FALSE()),"")</f>
        <v/>
      </c>
      <c r="T170" s="36" t="str">
        <f aca="false">IF($B170="","",IF($Q170=TRUE(),"U1",IF($L170=TRUE(),"S1",IF($M170=TRUE(),"D"&amp;MIN(4,INT(($S170-1)/DisplayCapacity)+1),IF($N170=TRUE(),"K1",IF($O170=TRUE(),"P1",IF($P170=TRUE(),"U1",IF($R170=TRUE(),"U1","W"))))))))</f>
        <v/>
      </c>
      <c r="U170" s="36" t="str">
        <f aca="false">IF($T170="","",$T170&amp;"-"&amp;COUNTIF($T$3:T170,$T170))</f>
        <v/>
      </c>
      <c r="V170" s="36" t="str">
        <f aca="false">IF($B170="","",_xlfn.TEXTJOIN(" | ",TRUE(),IF($Q170=TRUE(),"Empty box - no physical device, verify status",""),IF(AND($P170=TRUE(),$L170=FALSE(),$M170=FALSE(),$N170=FALSE(),$O170=FALSE(),$Q170=FALSE()),"Speaker fault only - needs manual box assignment",""),IF(AND($R170=TRUE(),$L170=FALSE(),$M170=FALSE(),$N170=FALSE(),$O170=FALSE(),$P170=FALSE(),$Q170=FALSE()),"No fault detail given - needs technician inspection",""),IF(AND(COUNTIF($F$3:$F$252,$F170)&gt;1,LOWER(TRIM($F170))&lt;&gt;"empty"),"Duplicate Serial No - verify device identity",""),IF((--$L170+--$M170+--$N170+--$O170+--$P170)&gt;1,"Multiple fault types detected - review full details before repair","")))</f>
        <v/>
      </c>
      <c r="W170" s="36"/>
      <c r="X170" s="36"/>
    </row>
    <row r="171" customFormat="false" ht="15" hidden="false" customHeight="true" outlineLevel="0" collapsed="false">
      <c r="A171" s="36" t="str">
        <f aca="false">IF($B171="","",169)</f>
        <v/>
      </c>
      <c r="B171" s="37"/>
      <c r="C171" s="36"/>
      <c r="D171" s="36" t="str">
        <f aca="false">IF($B171="","",IFERROR(VLOOKUP(TRIM($C171),ModelMap,2,FALSE()),TRIM($C171)))</f>
        <v/>
      </c>
      <c r="E171" s="36"/>
      <c r="F171" s="36"/>
      <c r="G171" s="36"/>
      <c r="H171" s="36"/>
      <c r="I171" s="36"/>
      <c r="J171" s="36"/>
      <c r="K171" s="36" t="str">
        <f aca="false">IF($B171="","",LOWER(TRIM($G171)&amp;" | "&amp;TRIM($H171)&amp;" | "&amp;TRIM($I171)))</f>
        <v/>
      </c>
      <c r="L171" s="36" t="str">
        <f aca="false">IF($B171="","",SUMPRODUCT(--ISNUMBER(SEARCH(SensorKW,$K171)))&gt;0)</f>
        <v/>
      </c>
      <c r="M171" s="36" t="str">
        <f aca="false">IF($B171="","",SUMPRODUCT(--ISNUMBER(SEARCH(DisplayKW,$K171)))&gt;0)</f>
        <v/>
      </c>
      <c r="N171" s="36" t="str">
        <f aca="false">IF($B171="","",SUMPRODUCT(--ISNUMBER(SEARCH(KeypadKW,$K171)))&gt;0)</f>
        <v/>
      </c>
      <c r="O171" s="36" t="str">
        <f aca="false">IF($B171="","",SUMPRODUCT(--ISNUMBER(SEARCH(PowerKW,$K171)))&gt;0)</f>
        <v/>
      </c>
      <c r="P171" s="36" t="str">
        <f aca="false">IF($B171="","",SUMPRODUCT(--ISNUMBER(SEARCH(SpeakerKW,$K171)))&gt;0)</f>
        <v/>
      </c>
      <c r="Q171" s="36" t="str">
        <f aca="false">IF($B171="","",OR(SUMPRODUCT(--ISNUMBER(SEARCH(EmptyKW,$K171)))&gt;0,LOWER(TRIM($F171))="empty"))</f>
        <v/>
      </c>
      <c r="R171" s="36" t="str">
        <f aca="false">IF($B171="","",OR(ISNUMBER(SEARCH("repair",$G171)),ISNUMBER(SEARCH("not working",$G171))))</f>
        <v/>
      </c>
      <c r="S171" s="36" t="str">
        <f aca="false">IF(AND($B171&lt;&gt;"",$M171=TRUE(),$L171=FALSE(),$Q171=FALSE()),COUNTIFS($M$3:$M171,TRUE(),$L$3:$L171,FALSE(),$Q$3:$Q171,FALSE()),"")</f>
        <v/>
      </c>
      <c r="T171" s="36" t="str">
        <f aca="false">IF($B171="","",IF($Q171=TRUE(),"U1",IF($L171=TRUE(),"S1",IF($M171=TRUE(),"D"&amp;MIN(4,INT(($S171-1)/DisplayCapacity)+1),IF($N171=TRUE(),"K1",IF($O171=TRUE(),"P1",IF($P171=TRUE(),"U1",IF($R171=TRUE(),"U1","W"))))))))</f>
        <v/>
      </c>
      <c r="U171" s="36" t="str">
        <f aca="false">IF($T171="","",$T171&amp;"-"&amp;COUNTIF($T$3:T171,$T171))</f>
        <v/>
      </c>
      <c r="V171" s="36" t="str">
        <f aca="false">IF($B171="","",_xlfn.TEXTJOIN(" | ",TRUE(),IF($Q171=TRUE(),"Empty box - no physical device, verify status",""),IF(AND($P171=TRUE(),$L171=FALSE(),$M171=FALSE(),$N171=FALSE(),$O171=FALSE(),$Q171=FALSE()),"Speaker fault only - needs manual box assignment",""),IF(AND($R171=TRUE(),$L171=FALSE(),$M171=FALSE(),$N171=FALSE(),$O171=FALSE(),$P171=FALSE(),$Q171=FALSE()),"No fault detail given - needs technician inspection",""),IF(AND(COUNTIF($F$3:$F$252,$F171)&gt;1,LOWER(TRIM($F171))&lt;&gt;"empty"),"Duplicate Serial No - verify device identity",""),IF((--$L171+--$M171+--$N171+--$O171+--$P171)&gt;1,"Multiple fault types detected - review full details before repair","")))</f>
        <v/>
      </c>
      <c r="W171" s="36"/>
      <c r="X171" s="36"/>
    </row>
    <row r="172" customFormat="false" ht="15" hidden="false" customHeight="true" outlineLevel="0" collapsed="false">
      <c r="A172" s="36" t="str">
        <f aca="false">IF($B172="","",170)</f>
        <v/>
      </c>
      <c r="B172" s="37"/>
      <c r="C172" s="36"/>
      <c r="D172" s="36" t="str">
        <f aca="false">IF($B172="","",IFERROR(VLOOKUP(TRIM($C172),ModelMap,2,FALSE()),TRIM($C172)))</f>
        <v/>
      </c>
      <c r="E172" s="36"/>
      <c r="F172" s="36"/>
      <c r="G172" s="36"/>
      <c r="H172" s="36"/>
      <c r="I172" s="36"/>
      <c r="J172" s="36"/>
      <c r="K172" s="36" t="str">
        <f aca="false">IF($B172="","",LOWER(TRIM($G172)&amp;" | "&amp;TRIM($H172)&amp;" | "&amp;TRIM($I172)))</f>
        <v/>
      </c>
      <c r="L172" s="36" t="str">
        <f aca="false">IF($B172="","",SUMPRODUCT(--ISNUMBER(SEARCH(SensorKW,$K172)))&gt;0)</f>
        <v/>
      </c>
      <c r="M172" s="36" t="str">
        <f aca="false">IF($B172="","",SUMPRODUCT(--ISNUMBER(SEARCH(DisplayKW,$K172)))&gt;0)</f>
        <v/>
      </c>
      <c r="N172" s="36" t="str">
        <f aca="false">IF($B172="","",SUMPRODUCT(--ISNUMBER(SEARCH(KeypadKW,$K172)))&gt;0)</f>
        <v/>
      </c>
      <c r="O172" s="36" t="str">
        <f aca="false">IF($B172="","",SUMPRODUCT(--ISNUMBER(SEARCH(PowerKW,$K172)))&gt;0)</f>
        <v/>
      </c>
      <c r="P172" s="36" t="str">
        <f aca="false">IF($B172="","",SUMPRODUCT(--ISNUMBER(SEARCH(SpeakerKW,$K172)))&gt;0)</f>
        <v/>
      </c>
      <c r="Q172" s="36" t="str">
        <f aca="false">IF($B172="","",OR(SUMPRODUCT(--ISNUMBER(SEARCH(EmptyKW,$K172)))&gt;0,LOWER(TRIM($F172))="empty"))</f>
        <v/>
      </c>
      <c r="R172" s="36" t="str">
        <f aca="false">IF($B172="","",OR(ISNUMBER(SEARCH("repair",$G172)),ISNUMBER(SEARCH("not working",$G172))))</f>
        <v/>
      </c>
      <c r="S172" s="36" t="str">
        <f aca="false">IF(AND($B172&lt;&gt;"",$M172=TRUE(),$L172=FALSE(),$Q172=FALSE()),COUNTIFS($M$3:$M172,TRUE(),$L$3:$L172,FALSE(),$Q$3:$Q172,FALSE()),"")</f>
        <v/>
      </c>
      <c r="T172" s="36" t="str">
        <f aca="false">IF($B172="","",IF($Q172=TRUE(),"U1",IF($L172=TRUE(),"S1",IF($M172=TRUE(),"D"&amp;MIN(4,INT(($S172-1)/DisplayCapacity)+1),IF($N172=TRUE(),"K1",IF($O172=TRUE(),"P1",IF($P172=TRUE(),"U1",IF($R172=TRUE(),"U1","W"))))))))</f>
        <v/>
      </c>
      <c r="U172" s="36" t="str">
        <f aca="false">IF($T172="","",$T172&amp;"-"&amp;COUNTIF($T$3:T172,$T172))</f>
        <v/>
      </c>
      <c r="V172" s="36" t="str">
        <f aca="false">IF($B172="","",_xlfn.TEXTJOIN(" | ",TRUE(),IF($Q172=TRUE(),"Empty box - no physical device, verify status",""),IF(AND($P172=TRUE(),$L172=FALSE(),$M172=FALSE(),$N172=FALSE(),$O172=FALSE(),$Q172=FALSE()),"Speaker fault only - needs manual box assignment",""),IF(AND($R172=TRUE(),$L172=FALSE(),$M172=FALSE(),$N172=FALSE(),$O172=FALSE(),$P172=FALSE(),$Q172=FALSE()),"No fault detail given - needs technician inspection",""),IF(AND(COUNTIF($F$3:$F$252,$F172)&gt;1,LOWER(TRIM($F172))&lt;&gt;"empty"),"Duplicate Serial No - verify device identity",""),IF((--$L172+--$M172+--$N172+--$O172+--$P172)&gt;1,"Multiple fault types detected - review full details before repair","")))</f>
        <v/>
      </c>
      <c r="W172" s="36"/>
      <c r="X172" s="36"/>
    </row>
    <row r="173" customFormat="false" ht="15" hidden="false" customHeight="true" outlineLevel="0" collapsed="false">
      <c r="A173" s="36" t="str">
        <f aca="false">IF($B173="","",171)</f>
        <v/>
      </c>
      <c r="B173" s="37"/>
      <c r="C173" s="36"/>
      <c r="D173" s="36" t="str">
        <f aca="false">IF($B173="","",IFERROR(VLOOKUP(TRIM($C173),ModelMap,2,FALSE()),TRIM($C173)))</f>
        <v/>
      </c>
      <c r="E173" s="36"/>
      <c r="F173" s="36"/>
      <c r="G173" s="36"/>
      <c r="H173" s="36"/>
      <c r="I173" s="36"/>
      <c r="J173" s="36"/>
      <c r="K173" s="36" t="str">
        <f aca="false">IF($B173="","",LOWER(TRIM($G173)&amp;" | "&amp;TRIM($H173)&amp;" | "&amp;TRIM($I173)))</f>
        <v/>
      </c>
      <c r="L173" s="36" t="str">
        <f aca="false">IF($B173="","",SUMPRODUCT(--ISNUMBER(SEARCH(SensorKW,$K173)))&gt;0)</f>
        <v/>
      </c>
      <c r="M173" s="36" t="str">
        <f aca="false">IF($B173="","",SUMPRODUCT(--ISNUMBER(SEARCH(DisplayKW,$K173)))&gt;0)</f>
        <v/>
      </c>
      <c r="N173" s="36" t="str">
        <f aca="false">IF($B173="","",SUMPRODUCT(--ISNUMBER(SEARCH(KeypadKW,$K173)))&gt;0)</f>
        <v/>
      </c>
      <c r="O173" s="36" t="str">
        <f aca="false">IF($B173="","",SUMPRODUCT(--ISNUMBER(SEARCH(PowerKW,$K173)))&gt;0)</f>
        <v/>
      </c>
      <c r="P173" s="36" t="str">
        <f aca="false">IF($B173="","",SUMPRODUCT(--ISNUMBER(SEARCH(SpeakerKW,$K173)))&gt;0)</f>
        <v/>
      </c>
      <c r="Q173" s="36" t="str">
        <f aca="false">IF($B173="","",OR(SUMPRODUCT(--ISNUMBER(SEARCH(EmptyKW,$K173)))&gt;0,LOWER(TRIM($F173))="empty"))</f>
        <v/>
      </c>
      <c r="R173" s="36" t="str">
        <f aca="false">IF($B173="","",OR(ISNUMBER(SEARCH("repair",$G173)),ISNUMBER(SEARCH("not working",$G173))))</f>
        <v/>
      </c>
      <c r="S173" s="36" t="str">
        <f aca="false">IF(AND($B173&lt;&gt;"",$M173=TRUE(),$L173=FALSE(),$Q173=FALSE()),COUNTIFS($M$3:$M173,TRUE(),$L$3:$L173,FALSE(),$Q$3:$Q173,FALSE()),"")</f>
        <v/>
      </c>
      <c r="T173" s="36" t="str">
        <f aca="false">IF($B173="","",IF($Q173=TRUE(),"U1",IF($L173=TRUE(),"S1",IF($M173=TRUE(),"D"&amp;MIN(4,INT(($S173-1)/DisplayCapacity)+1),IF($N173=TRUE(),"K1",IF($O173=TRUE(),"P1",IF($P173=TRUE(),"U1",IF($R173=TRUE(),"U1","W"))))))))</f>
        <v/>
      </c>
      <c r="U173" s="36" t="str">
        <f aca="false">IF($T173="","",$T173&amp;"-"&amp;COUNTIF($T$3:T173,$T173))</f>
        <v/>
      </c>
      <c r="V173" s="36" t="str">
        <f aca="false">IF($B173="","",_xlfn.TEXTJOIN(" | ",TRUE(),IF($Q173=TRUE(),"Empty box - no physical device, verify status",""),IF(AND($P173=TRUE(),$L173=FALSE(),$M173=FALSE(),$N173=FALSE(),$O173=FALSE(),$Q173=FALSE()),"Speaker fault only - needs manual box assignment",""),IF(AND($R173=TRUE(),$L173=FALSE(),$M173=FALSE(),$N173=FALSE(),$O173=FALSE(),$P173=FALSE(),$Q173=FALSE()),"No fault detail given - needs technician inspection",""),IF(AND(COUNTIF($F$3:$F$252,$F173)&gt;1,LOWER(TRIM($F173))&lt;&gt;"empty"),"Duplicate Serial No - verify device identity",""),IF((--$L173+--$M173+--$N173+--$O173+--$P173)&gt;1,"Multiple fault types detected - review full details before repair","")))</f>
        <v/>
      </c>
      <c r="W173" s="36"/>
      <c r="X173" s="36"/>
    </row>
    <row r="174" customFormat="false" ht="15" hidden="false" customHeight="true" outlineLevel="0" collapsed="false">
      <c r="A174" s="36" t="str">
        <f aca="false">IF($B174="","",172)</f>
        <v/>
      </c>
      <c r="B174" s="37"/>
      <c r="C174" s="36"/>
      <c r="D174" s="36" t="str">
        <f aca="false">IF($B174="","",IFERROR(VLOOKUP(TRIM($C174),ModelMap,2,FALSE()),TRIM($C174)))</f>
        <v/>
      </c>
      <c r="E174" s="36"/>
      <c r="F174" s="36"/>
      <c r="G174" s="36"/>
      <c r="H174" s="36"/>
      <c r="I174" s="36"/>
      <c r="J174" s="36"/>
      <c r="K174" s="36" t="str">
        <f aca="false">IF($B174="","",LOWER(TRIM($G174)&amp;" | "&amp;TRIM($H174)&amp;" | "&amp;TRIM($I174)))</f>
        <v/>
      </c>
      <c r="L174" s="36" t="str">
        <f aca="false">IF($B174="","",SUMPRODUCT(--ISNUMBER(SEARCH(SensorKW,$K174)))&gt;0)</f>
        <v/>
      </c>
      <c r="M174" s="36" t="str">
        <f aca="false">IF($B174="","",SUMPRODUCT(--ISNUMBER(SEARCH(DisplayKW,$K174)))&gt;0)</f>
        <v/>
      </c>
      <c r="N174" s="36" t="str">
        <f aca="false">IF($B174="","",SUMPRODUCT(--ISNUMBER(SEARCH(KeypadKW,$K174)))&gt;0)</f>
        <v/>
      </c>
      <c r="O174" s="36" t="str">
        <f aca="false">IF($B174="","",SUMPRODUCT(--ISNUMBER(SEARCH(PowerKW,$K174)))&gt;0)</f>
        <v/>
      </c>
      <c r="P174" s="36" t="str">
        <f aca="false">IF($B174="","",SUMPRODUCT(--ISNUMBER(SEARCH(SpeakerKW,$K174)))&gt;0)</f>
        <v/>
      </c>
      <c r="Q174" s="36" t="str">
        <f aca="false">IF($B174="","",OR(SUMPRODUCT(--ISNUMBER(SEARCH(EmptyKW,$K174)))&gt;0,LOWER(TRIM($F174))="empty"))</f>
        <v/>
      </c>
      <c r="R174" s="36" t="str">
        <f aca="false">IF($B174="","",OR(ISNUMBER(SEARCH("repair",$G174)),ISNUMBER(SEARCH("not working",$G174))))</f>
        <v/>
      </c>
      <c r="S174" s="36" t="str">
        <f aca="false">IF(AND($B174&lt;&gt;"",$M174=TRUE(),$L174=FALSE(),$Q174=FALSE()),COUNTIFS($M$3:$M174,TRUE(),$L$3:$L174,FALSE(),$Q$3:$Q174,FALSE()),"")</f>
        <v/>
      </c>
      <c r="T174" s="36" t="str">
        <f aca="false">IF($B174="","",IF($Q174=TRUE(),"U1",IF($L174=TRUE(),"S1",IF($M174=TRUE(),"D"&amp;MIN(4,INT(($S174-1)/DisplayCapacity)+1),IF($N174=TRUE(),"K1",IF($O174=TRUE(),"P1",IF($P174=TRUE(),"U1",IF($R174=TRUE(),"U1","W"))))))))</f>
        <v/>
      </c>
      <c r="U174" s="36" t="str">
        <f aca="false">IF($T174="","",$T174&amp;"-"&amp;COUNTIF($T$3:T174,$T174))</f>
        <v/>
      </c>
      <c r="V174" s="36" t="str">
        <f aca="false">IF($B174="","",_xlfn.TEXTJOIN(" | ",TRUE(),IF($Q174=TRUE(),"Empty box - no physical device, verify status",""),IF(AND($P174=TRUE(),$L174=FALSE(),$M174=FALSE(),$N174=FALSE(),$O174=FALSE(),$Q174=FALSE()),"Speaker fault only - needs manual box assignment",""),IF(AND($R174=TRUE(),$L174=FALSE(),$M174=FALSE(),$N174=FALSE(),$O174=FALSE(),$P174=FALSE(),$Q174=FALSE()),"No fault detail given - needs technician inspection",""),IF(AND(COUNTIF($F$3:$F$252,$F174)&gt;1,LOWER(TRIM($F174))&lt;&gt;"empty"),"Duplicate Serial No - verify device identity",""),IF((--$L174+--$M174+--$N174+--$O174+--$P174)&gt;1,"Multiple fault types detected - review full details before repair","")))</f>
        <v/>
      </c>
      <c r="W174" s="36"/>
      <c r="X174" s="36"/>
    </row>
    <row r="175" customFormat="false" ht="15" hidden="false" customHeight="true" outlineLevel="0" collapsed="false">
      <c r="A175" s="36" t="str">
        <f aca="false">IF($B175="","",173)</f>
        <v/>
      </c>
      <c r="B175" s="37"/>
      <c r="C175" s="36"/>
      <c r="D175" s="36" t="str">
        <f aca="false">IF($B175="","",IFERROR(VLOOKUP(TRIM($C175),ModelMap,2,FALSE()),TRIM($C175)))</f>
        <v/>
      </c>
      <c r="E175" s="36"/>
      <c r="F175" s="36"/>
      <c r="G175" s="36"/>
      <c r="H175" s="36"/>
      <c r="I175" s="36"/>
      <c r="J175" s="36"/>
      <c r="K175" s="36" t="str">
        <f aca="false">IF($B175="","",LOWER(TRIM($G175)&amp;" | "&amp;TRIM($H175)&amp;" | "&amp;TRIM($I175)))</f>
        <v/>
      </c>
      <c r="L175" s="36" t="str">
        <f aca="false">IF($B175="","",SUMPRODUCT(--ISNUMBER(SEARCH(SensorKW,$K175)))&gt;0)</f>
        <v/>
      </c>
      <c r="M175" s="36" t="str">
        <f aca="false">IF($B175="","",SUMPRODUCT(--ISNUMBER(SEARCH(DisplayKW,$K175)))&gt;0)</f>
        <v/>
      </c>
      <c r="N175" s="36" t="str">
        <f aca="false">IF($B175="","",SUMPRODUCT(--ISNUMBER(SEARCH(KeypadKW,$K175)))&gt;0)</f>
        <v/>
      </c>
      <c r="O175" s="36" t="str">
        <f aca="false">IF($B175="","",SUMPRODUCT(--ISNUMBER(SEARCH(PowerKW,$K175)))&gt;0)</f>
        <v/>
      </c>
      <c r="P175" s="36" t="str">
        <f aca="false">IF($B175="","",SUMPRODUCT(--ISNUMBER(SEARCH(SpeakerKW,$K175)))&gt;0)</f>
        <v/>
      </c>
      <c r="Q175" s="36" t="str">
        <f aca="false">IF($B175="","",OR(SUMPRODUCT(--ISNUMBER(SEARCH(EmptyKW,$K175)))&gt;0,LOWER(TRIM($F175))="empty"))</f>
        <v/>
      </c>
      <c r="R175" s="36" t="str">
        <f aca="false">IF($B175="","",OR(ISNUMBER(SEARCH("repair",$G175)),ISNUMBER(SEARCH("not working",$G175))))</f>
        <v/>
      </c>
      <c r="S175" s="36" t="str">
        <f aca="false">IF(AND($B175&lt;&gt;"",$M175=TRUE(),$L175=FALSE(),$Q175=FALSE()),COUNTIFS($M$3:$M175,TRUE(),$L$3:$L175,FALSE(),$Q$3:$Q175,FALSE()),"")</f>
        <v/>
      </c>
      <c r="T175" s="36" t="str">
        <f aca="false">IF($B175="","",IF($Q175=TRUE(),"U1",IF($L175=TRUE(),"S1",IF($M175=TRUE(),"D"&amp;MIN(4,INT(($S175-1)/DisplayCapacity)+1),IF($N175=TRUE(),"K1",IF($O175=TRUE(),"P1",IF($P175=TRUE(),"U1",IF($R175=TRUE(),"U1","W"))))))))</f>
        <v/>
      </c>
      <c r="U175" s="36" t="str">
        <f aca="false">IF($T175="","",$T175&amp;"-"&amp;COUNTIF($T$3:T175,$T175))</f>
        <v/>
      </c>
      <c r="V175" s="36" t="str">
        <f aca="false">IF($B175="","",_xlfn.TEXTJOIN(" | ",TRUE(),IF($Q175=TRUE(),"Empty box - no physical device, verify status",""),IF(AND($P175=TRUE(),$L175=FALSE(),$M175=FALSE(),$N175=FALSE(),$O175=FALSE(),$Q175=FALSE()),"Speaker fault only - needs manual box assignment",""),IF(AND($R175=TRUE(),$L175=FALSE(),$M175=FALSE(),$N175=FALSE(),$O175=FALSE(),$P175=FALSE(),$Q175=FALSE()),"No fault detail given - needs technician inspection",""),IF(AND(COUNTIF($F$3:$F$252,$F175)&gt;1,LOWER(TRIM($F175))&lt;&gt;"empty"),"Duplicate Serial No - verify device identity",""),IF((--$L175+--$M175+--$N175+--$O175+--$P175)&gt;1,"Multiple fault types detected - review full details before repair","")))</f>
        <v/>
      </c>
      <c r="W175" s="36"/>
      <c r="X175" s="36"/>
    </row>
    <row r="176" customFormat="false" ht="15" hidden="false" customHeight="true" outlineLevel="0" collapsed="false">
      <c r="A176" s="36" t="str">
        <f aca="false">IF($B176="","",174)</f>
        <v/>
      </c>
      <c r="B176" s="37"/>
      <c r="C176" s="36"/>
      <c r="D176" s="36" t="str">
        <f aca="false">IF($B176="","",IFERROR(VLOOKUP(TRIM($C176),ModelMap,2,FALSE()),TRIM($C176)))</f>
        <v/>
      </c>
      <c r="E176" s="36"/>
      <c r="F176" s="36"/>
      <c r="G176" s="36"/>
      <c r="H176" s="36"/>
      <c r="I176" s="36"/>
      <c r="J176" s="36"/>
      <c r="K176" s="36" t="str">
        <f aca="false">IF($B176="","",LOWER(TRIM($G176)&amp;" | "&amp;TRIM($H176)&amp;" | "&amp;TRIM($I176)))</f>
        <v/>
      </c>
      <c r="L176" s="36" t="str">
        <f aca="false">IF($B176="","",SUMPRODUCT(--ISNUMBER(SEARCH(SensorKW,$K176)))&gt;0)</f>
        <v/>
      </c>
      <c r="M176" s="36" t="str">
        <f aca="false">IF($B176="","",SUMPRODUCT(--ISNUMBER(SEARCH(DisplayKW,$K176)))&gt;0)</f>
        <v/>
      </c>
      <c r="N176" s="36" t="str">
        <f aca="false">IF($B176="","",SUMPRODUCT(--ISNUMBER(SEARCH(KeypadKW,$K176)))&gt;0)</f>
        <v/>
      </c>
      <c r="O176" s="36" t="str">
        <f aca="false">IF($B176="","",SUMPRODUCT(--ISNUMBER(SEARCH(PowerKW,$K176)))&gt;0)</f>
        <v/>
      </c>
      <c r="P176" s="36" t="str">
        <f aca="false">IF($B176="","",SUMPRODUCT(--ISNUMBER(SEARCH(SpeakerKW,$K176)))&gt;0)</f>
        <v/>
      </c>
      <c r="Q176" s="36" t="str">
        <f aca="false">IF($B176="","",OR(SUMPRODUCT(--ISNUMBER(SEARCH(EmptyKW,$K176)))&gt;0,LOWER(TRIM($F176))="empty"))</f>
        <v/>
      </c>
      <c r="R176" s="36" t="str">
        <f aca="false">IF($B176="","",OR(ISNUMBER(SEARCH("repair",$G176)),ISNUMBER(SEARCH("not working",$G176))))</f>
        <v/>
      </c>
      <c r="S176" s="36" t="str">
        <f aca="false">IF(AND($B176&lt;&gt;"",$M176=TRUE(),$L176=FALSE(),$Q176=FALSE()),COUNTIFS($M$3:$M176,TRUE(),$L$3:$L176,FALSE(),$Q$3:$Q176,FALSE()),"")</f>
        <v/>
      </c>
      <c r="T176" s="36" t="str">
        <f aca="false">IF($B176="","",IF($Q176=TRUE(),"U1",IF($L176=TRUE(),"S1",IF($M176=TRUE(),"D"&amp;MIN(4,INT(($S176-1)/DisplayCapacity)+1),IF($N176=TRUE(),"K1",IF($O176=TRUE(),"P1",IF($P176=TRUE(),"U1",IF($R176=TRUE(),"U1","W"))))))))</f>
        <v/>
      </c>
      <c r="U176" s="36" t="str">
        <f aca="false">IF($T176="","",$T176&amp;"-"&amp;COUNTIF($T$3:T176,$T176))</f>
        <v/>
      </c>
      <c r="V176" s="36" t="str">
        <f aca="false">IF($B176="","",_xlfn.TEXTJOIN(" | ",TRUE(),IF($Q176=TRUE(),"Empty box - no physical device, verify status",""),IF(AND($P176=TRUE(),$L176=FALSE(),$M176=FALSE(),$N176=FALSE(),$O176=FALSE(),$Q176=FALSE()),"Speaker fault only - needs manual box assignment",""),IF(AND($R176=TRUE(),$L176=FALSE(),$M176=FALSE(),$N176=FALSE(),$O176=FALSE(),$P176=FALSE(),$Q176=FALSE()),"No fault detail given - needs technician inspection",""),IF(AND(COUNTIF($F$3:$F$252,$F176)&gt;1,LOWER(TRIM($F176))&lt;&gt;"empty"),"Duplicate Serial No - verify device identity",""),IF((--$L176+--$M176+--$N176+--$O176+--$P176)&gt;1,"Multiple fault types detected - review full details before repair","")))</f>
        <v/>
      </c>
      <c r="W176" s="36"/>
      <c r="X176" s="36"/>
    </row>
    <row r="177" customFormat="false" ht="15" hidden="false" customHeight="true" outlineLevel="0" collapsed="false">
      <c r="A177" s="36" t="str">
        <f aca="false">IF($B177="","",175)</f>
        <v/>
      </c>
      <c r="B177" s="37"/>
      <c r="C177" s="36"/>
      <c r="D177" s="36" t="str">
        <f aca="false">IF($B177="","",IFERROR(VLOOKUP(TRIM($C177),ModelMap,2,FALSE()),TRIM($C177)))</f>
        <v/>
      </c>
      <c r="E177" s="36"/>
      <c r="F177" s="36"/>
      <c r="G177" s="36"/>
      <c r="H177" s="36"/>
      <c r="I177" s="36"/>
      <c r="J177" s="36"/>
      <c r="K177" s="36" t="str">
        <f aca="false">IF($B177="","",LOWER(TRIM($G177)&amp;" | "&amp;TRIM($H177)&amp;" | "&amp;TRIM($I177)))</f>
        <v/>
      </c>
      <c r="L177" s="36" t="str">
        <f aca="false">IF($B177="","",SUMPRODUCT(--ISNUMBER(SEARCH(SensorKW,$K177)))&gt;0)</f>
        <v/>
      </c>
      <c r="M177" s="36" t="str">
        <f aca="false">IF($B177="","",SUMPRODUCT(--ISNUMBER(SEARCH(DisplayKW,$K177)))&gt;0)</f>
        <v/>
      </c>
      <c r="N177" s="36" t="str">
        <f aca="false">IF($B177="","",SUMPRODUCT(--ISNUMBER(SEARCH(KeypadKW,$K177)))&gt;0)</f>
        <v/>
      </c>
      <c r="O177" s="36" t="str">
        <f aca="false">IF($B177="","",SUMPRODUCT(--ISNUMBER(SEARCH(PowerKW,$K177)))&gt;0)</f>
        <v/>
      </c>
      <c r="P177" s="36" t="str">
        <f aca="false">IF($B177="","",SUMPRODUCT(--ISNUMBER(SEARCH(SpeakerKW,$K177)))&gt;0)</f>
        <v/>
      </c>
      <c r="Q177" s="36" t="str">
        <f aca="false">IF($B177="","",OR(SUMPRODUCT(--ISNUMBER(SEARCH(EmptyKW,$K177)))&gt;0,LOWER(TRIM($F177))="empty"))</f>
        <v/>
      </c>
      <c r="R177" s="36" t="str">
        <f aca="false">IF($B177="","",OR(ISNUMBER(SEARCH("repair",$G177)),ISNUMBER(SEARCH("not working",$G177))))</f>
        <v/>
      </c>
      <c r="S177" s="36" t="str">
        <f aca="false">IF(AND($B177&lt;&gt;"",$M177=TRUE(),$L177=FALSE(),$Q177=FALSE()),COUNTIFS($M$3:$M177,TRUE(),$L$3:$L177,FALSE(),$Q$3:$Q177,FALSE()),"")</f>
        <v/>
      </c>
      <c r="T177" s="36" t="str">
        <f aca="false">IF($B177="","",IF($Q177=TRUE(),"U1",IF($L177=TRUE(),"S1",IF($M177=TRUE(),"D"&amp;MIN(4,INT(($S177-1)/DisplayCapacity)+1),IF($N177=TRUE(),"K1",IF($O177=TRUE(),"P1",IF($P177=TRUE(),"U1",IF($R177=TRUE(),"U1","W"))))))))</f>
        <v/>
      </c>
      <c r="U177" s="36" t="str">
        <f aca="false">IF($T177="","",$T177&amp;"-"&amp;COUNTIF($T$3:T177,$T177))</f>
        <v/>
      </c>
      <c r="V177" s="36" t="str">
        <f aca="false">IF($B177="","",_xlfn.TEXTJOIN(" | ",TRUE(),IF($Q177=TRUE(),"Empty box - no physical device, verify status",""),IF(AND($P177=TRUE(),$L177=FALSE(),$M177=FALSE(),$N177=FALSE(),$O177=FALSE(),$Q177=FALSE()),"Speaker fault only - needs manual box assignment",""),IF(AND($R177=TRUE(),$L177=FALSE(),$M177=FALSE(),$N177=FALSE(),$O177=FALSE(),$P177=FALSE(),$Q177=FALSE()),"No fault detail given - needs technician inspection",""),IF(AND(COUNTIF($F$3:$F$252,$F177)&gt;1,LOWER(TRIM($F177))&lt;&gt;"empty"),"Duplicate Serial No - verify device identity",""),IF((--$L177+--$M177+--$N177+--$O177+--$P177)&gt;1,"Multiple fault types detected - review full details before repair","")))</f>
        <v/>
      </c>
      <c r="W177" s="36"/>
      <c r="X177" s="36"/>
    </row>
    <row r="178" customFormat="false" ht="15" hidden="false" customHeight="true" outlineLevel="0" collapsed="false">
      <c r="A178" s="36" t="str">
        <f aca="false">IF($B178="","",176)</f>
        <v/>
      </c>
      <c r="B178" s="37"/>
      <c r="C178" s="36"/>
      <c r="D178" s="36" t="str">
        <f aca="false">IF($B178="","",IFERROR(VLOOKUP(TRIM($C178),ModelMap,2,FALSE()),TRIM($C178)))</f>
        <v/>
      </c>
      <c r="E178" s="36"/>
      <c r="F178" s="36"/>
      <c r="G178" s="36"/>
      <c r="H178" s="36"/>
      <c r="I178" s="36"/>
      <c r="J178" s="36"/>
      <c r="K178" s="36" t="str">
        <f aca="false">IF($B178="","",LOWER(TRIM($G178)&amp;" | "&amp;TRIM($H178)&amp;" | "&amp;TRIM($I178)))</f>
        <v/>
      </c>
      <c r="L178" s="36" t="str">
        <f aca="false">IF($B178="","",SUMPRODUCT(--ISNUMBER(SEARCH(SensorKW,$K178)))&gt;0)</f>
        <v/>
      </c>
      <c r="M178" s="36" t="str">
        <f aca="false">IF($B178="","",SUMPRODUCT(--ISNUMBER(SEARCH(DisplayKW,$K178)))&gt;0)</f>
        <v/>
      </c>
      <c r="N178" s="36" t="str">
        <f aca="false">IF($B178="","",SUMPRODUCT(--ISNUMBER(SEARCH(KeypadKW,$K178)))&gt;0)</f>
        <v/>
      </c>
      <c r="O178" s="36" t="str">
        <f aca="false">IF($B178="","",SUMPRODUCT(--ISNUMBER(SEARCH(PowerKW,$K178)))&gt;0)</f>
        <v/>
      </c>
      <c r="P178" s="36" t="str">
        <f aca="false">IF($B178="","",SUMPRODUCT(--ISNUMBER(SEARCH(SpeakerKW,$K178)))&gt;0)</f>
        <v/>
      </c>
      <c r="Q178" s="36" t="str">
        <f aca="false">IF($B178="","",OR(SUMPRODUCT(--ISNUMBER(SEARCH(EmptyKW,$K178)))&gt;0,LOWER(TRIM($F178))="empty"))</f>
        <v/>
      </c>
      <c r="R178" s="36" t="str">
        <f aca="false">IF($B178="","",OR(ISNUMBER(SEARCH("repair",$G178)),ISNUMBER(SEARCH("not working",$G178))))</f>
        <v/>
      </c>
      <c r="S178" s="36" t="str">
        <f aca="false">IF(AND($B178&lt;&gt;"",$M178=TRUE(),$L178=FALSE(),$Q178=FALSE()),COUNTIFS($M$3:$M178,TRUE(),$L$3:$L178,FALSE(),$Q$3:$Q178,FALSE()),"")</f>
        <v/>
      </c>
      <c r="T178" s="36" t="str">
        <f aca="false">IF($B178="","",IF($Q178=TRUE(),"U1",IF($L178=TRUE(),"S1",IF($M178=TRUE(),"D"&amp;MIN(4,INT(($S178-1)/DisplayCapacity)+1),IF($N178=TRUE(),"K1",IF($O178=TRUE(),"P1",IF($P178=TRUE(),"U1",IF($R178=TRUE(),"U1","W"))))))))</f>
        <v/>
      </c>
      <c r="U178" s="36" t="str">
        <f aca="false">IF($T178="","",$T178&amp;"-"&amp;COUNTIF($T$3:T178,$T178))</f>
        <v/>
      </c>
      <c r="V178" s="36" t="str">
        <f aca="false">IF($B178="","",_xlfn.TEXTJOIN(" | ",TRUE(),IF($Q178=TRUE(),"Empty box - no physical device, verify status",""),IF(AND($P178=TRUE(),$L178=FALSE(),$M178=FALSE(),$N178=FALSE(),$O178=FALSE(),$Q178=FALSE()),"Speaker fault only - needs manual box assignment",""),IF(AND($R178=TRUE(),$L178=FALSE(),$M178=FALSE(),$N178=FALSE(),$O178=FALSE(),$P178=FALSE(),$Q178=FALSE()),"No fault detail given - needs technician inspection",""),IF(AND(COUNTIF($F$3:$F$252,$F178)&gt;1,LOWER(TRIM($F178))&lt;&gt;"empty"),"Duplicate Serial No - verify device identity",""),IF((--$L178+--$M178+--$N178+--$O178+--$P178)&gt;1,"Multiple fault types detected - review full details before repair","")))</f>
        <v/>
      </c>
      <c r="W178" s="36"/>
      <c r="X178" s="36"/>
    </row>
    <row r="179" customFormat="false" ht="15" hidden="false" customHeight="true" outlineLevel="0" collapsed="false">
      <c r="A179" s="36" t="str">
        <f aca="false">IF($B179="","",177)</f>
        <v/>
      </c>
      <c r="B179" s="37"/>
      <c r="C179" s="36"/>
      <c r="D179" s="36" t="str">
        <f aca="false">IF($B179="","",IFERROR(VLOOKUP(TRIM($C179),ModelMap,2,FALSE()),TRIM($C179)))</f>
        <v/>
      </c>
      <c r="E179" s="36"/>
      <c r="F179" s="36"/>
      <c r="G179" s="36"/>
      <c r="H179" s="36"/>
      <c r="I179" s="36"/>
      <c r="J179" s="36"/>
      <c r="K179" s="36" t="str">
        <f aca="false">IF($B179="","",LOWER(TRIM($G179)&amp;" | "&amp;TRIM($H179)&amp;" | "&amp;TRIM($I179)))</f>
        <v/>
      </c>
      <c r="L179" s="36" t="str">
        <f aca="false">IF($B179="","",SUMPRODUCT(--ISNUMBER(SEARCH(SensorKW,$K179)))&gt;0)</f>
        <v/>
      </c>
      <c r="M179" s="36" t="str">
        <f aca="false">IF($B179="","",SUMPRODUCT(--ISNUMBER(SEARCH(DisplayKW,$K179)))&gt;0)</f>
        <v/>
      </c>
      <c r="N179" s="36" t="str">
        <f aca="false">IF($B179="","",SUMPRODUCT(--ISNUMBER(SEARCH(KeypadKW,$K179)))&gt;0)</f>
        <v/>
      </c>
      <c r="O179" s="36" t="str">
        <f aca="false">IF($B179="","",SUMPRODUCT(--ISNUMBER(SEARCH(PowerKW,$K179)))&gt;0)</f>
        <v/>
      </c>
      <c r="P179" s="36" t="str">
        <f aca="false">IF($B179="","",SUMPRODUCT(--ISNUMBER(SEARCH(SpeakerKW,$K179)))&gt;0)</f>
        <v/>
      </c>
      <c r="Q179" s="36" t="str">
        <f aca="false">IF($B179="","",OR(SUMPRODUCT(--ISNUMBER(SEARCH(EmptyKW,$K179)))&gt;0,LOWER(TRIM($F179))="empty"))</f>
        <v/>
      </c>
      <c r="R179" s="36" t="str">
        <f aca="false">IF($B179="","",OR(ISNUMBER(SEARCH("repair",$G179)),ISNUMBER(SEARCH("not working",$G179))))</f>
        <v/>
      </c>
      <c r="S179" s="36" t="str">
        <f aca="false">IF(AND($B179&lt;&gt;"",$M179=TRUE(),$L179=FALSE(),$Q179=FALSE()),COUNTIFS($M$3:$M179,TRUE(),$L$3:$L179,FALSE(),$Q$3:$Q179,FALSE()),"")</f>
        <v/>
      </c>
      <c r="T179" s="36" t="str">
        <f aca="false">IF($B179="","",IF($Q179=TRUE(),"U1",IF($L179=TRUE(),"S1",IF($M179=TRUE(),"D"&amp;MIN(4,INT(($S179-1)/DisplayCapacity)+1),IF($N179=TRUE(),"K1",IF($O179=TRUE(),"P1",IF($P179=TRUE(),"U1",IF($R179=TRUE(),"U1","W"))))))))</f>
        <v/>
      </c>
      <c r="U179" s="36" t="str">
        <f aca="false">IF($T179="","",$T179&amp;"-"&amp;COUNTIF($T$3:T179,$T179))</f>
        <v/>
      </c>
      <c r="V179" s="36" t="str">
        <f aca="false">IF($B179="","",_xlfn.TEXTJOIN(" | ",TRUE(),IF($Q179=TRUE(),"Empty box - no physical device, verify status",""),IF(AND($P179=TRUE(),$L179=FALSE(),$M179=FALSE(),$N179=FALSE(),$O179=FALSE(),$Q179=FALSE()),"Speaker fault only - needs manual box assignment",""),IF(AND($R179=TRUE(),$L179=FALSE(),$M179=FALSE(),$N179=FALSE(),$O179=FALSE(),$P179=FALSE(),$Q179=FALSE()),"No fault detail given - needs technician inspection",""),IF(AND(COUNTIF($F$3:$F$252,$F179)&gt;1,LOWER(TRIM($F179))&lt;&gt;"empty"),"Duplicate Serial No - verify device identity",""),IF((--$L179+--$M179+--$N179+--$O179+--$P179)&gt;1,"Multiple fault types detected - review full details before repair","")))</f>
        <v/>
      </c>
      <c r="W179" s="36"/>
      <c r="X179" s="36"/>
    </row>
    <row r="180" customFormat="false" ht="15" hidden="false" customHeight="true" outlineLevel="0" collapsed="false">
      <c r="A180" s="36" t="str">
        <f aca="false">IF($B180="","",178)</f>
        <v/>
      </c>
      <c r="B180" s="37"/>
      <c r="C180" s="36"/>
      <c r="D180" s="36" t="str">
        <f aca="false">IF($B180="","",IFERROR(VLOOKUP(TRIM($C180),ModelMap,2,FALSE()),TRIM($C180)))</f>
        <v/>
      </c>
      <c r="E180" s="36"/>
      <c r="F180" s="36"/>
      <c r="G180" s="36"/>
      <c r="H180" s="36"/>
      <c r="I180" s="36"/>
      <c r="J180" s="36"/>
      <c r="K180" s="36" t="str">
        <f aca="false">IF($B180="","",LOWER(TRIM($G180)&amp;" | "&amp;TRIM($H180)&amp;" | "&amp;TRIM($I180)))</f>
        <v/>
      </c>
      <c r="L180" s="36" t="str">
        <f aca="false">IF($B180="","",SUMPRODUCT(--ISNUMBER(SEARCH(SensorKW,$K180)))&gt;0)</f>
        <v/>
      </c>
      <c r="M180" s="36" t="str">
        <f aca="false">IF($B180="","",SUMPRODUCT(--ISNUMBER(SEARCH(DisplayKW,$K180)))&gt;0)</f>
        <v/>
      </c>
      <c r="N180" s="36" t="str">
        <f aca="false">IF($B180="","",SUMPRODUCT(--ISNUMBER(SEARCH(KeypadKW,$K180)))&gt;0)</f>
        <v/>
      </c>
      <c r="O180" s="36" t="str">
        <f aca="false">IF($B180="","",SUMPRODUCT(--ISNUMBER(SEARCH(PowerKW,$K180)))&gt;0)</f>
        <v/>
      </c>
      <c r="P180" s="36" t="str">
        <f aca="false">IF($B180="","",SUMPRODUCT(--ISNUMBER(SEARCH(SpeakerKW,$K180)))&gt;0)</f>
        <v/>
      </c>
      <c r="Q180" s="36" t="str">
        <f aca="false">IF($B180="","",OR(SUMPRODUCT(--ISNUMBER(SEARCH(EmptyKW,$K180)))&gt;0,LOWER(TRIM($F180))="empty"))</f>
        <v/>
      </c>
      <c r="R180" s="36" t="str">
        <f aca="false">IF($B180="","",OR(ISNUMBER(SEARCH("repair",$G180)),ISNUMBER(SEARCH("not working",$G180))))</f>
        <v/>
      </c>
      <c r="S180" s="36" t="str">
        <f aca="false">IF(AND($B180&lt;&gt;"",$M180=TRUE(),$L180=FALSE(),$Q180=FALSE()),COUNTIFS($M$3:$M180,TRUE(),$L$3:$L180,FALSE(),$Q$3:$Q180,FALSE()),"")</f>
        <v/>
      </c>
      <c r="T180" s="36" t="str">
        <f aca="false">IF($B180="","",IF($Q180=TRUE(),"U1",IF($L180=TRUE(),"S1",IF($M180=TRUE(),"D"&amp;MIN(4,INT(($S180-1)/DisplayCapacity)+1),IF($N180=TRUE(),"K1",IF($O180=TRUE(),"P1",IF($P180=TRUE(),"U1",IF($R180=TRUE(),"U1","W"))))))))</f>
        <v/>
      </c>
      <c r="U180" s="36" t="str">
        <f aca="false">IF($T180="","",$T180&amp;"-"&amp;COUNTIF($T$3:T180,$T180))</f>
        <v/>
      </c>
      <c r="V180" s="36" t="str">
        <f aca="false">IF($B180="","",_xlfn.TEXTJOIN(" | ",TRUE(),IF($Q180=TRUE(),"Empty box - no physical device, verify status",""),IF(AND($P180=TRUE(),$L180=FALSE(),$M180=FALSE(),$N180=FALSE(),$O180=FALSE(),$Q180=FALSE()),"Speaker fault only - needs manual box assignment",""),IF(AND($R180=TRUE(),$L180=FALSE(),$M180=FALSE(),$N180=FALSE(),$O180=FALSE(),$P180=FALSE(),$Q180=FALSE()),"No fault detail given - needs technician inspection",""),IF(AND(COUNTIF($F$3:$F$252,$F180)&gt;1,LOWER(TRIM($F180))&lt;&gt;"empty"),"Duplicate Serial No - verify device identity",""),IF((--$L180+--$M180+--$N180+--$O180+--$P180)&gt;1,"Multiple fault types detected - review full details before repair","")))</f>
        <v/>
      </c>
      <c r="W180" s="36"/>
      <c r="X180" s="36"/>
    </row>
    <row r="181" customFormat="false" ht="15" hidden="false" customHeight="true" outlineLevel="0" collapsed="false">
      <c r="A181" s="36" t="str">
        <f aca="false">IF($B181="","",179)</f>
        <v/>
      </c>
      <c r="B181" s="37"/>
      <c r="C181" s="36"/>
      <c r="D181" s="36" t="str">
        <f aca="false">IF($B181="","",IFERROR(VLOOKUP(TRIM($C181),ModelMap,2,FALSE()),TRIM($C181)))</f>
        <v/>
      </c>
      <c r="E181" s="36"/>
      <c r="F181" s="36"/>
      <c r="G181" s="36"/>
      <c r="H181" s="36"/>
      <c r="I181" s="36"/>
      <c r="J181" s="36"/>
      <c r="K181" s="36" t="str">
        <f aca="false">IF($B181="","",LOWER(TRIM($G181)&amp;" | "&amp;TRIM($H181)&amp;" | "&amp;TRIM($I181)))</f>
        <v/>
      </c>
      <c r="L181" s="36" t="str">
        <f aca="false">IF($B181="","",SUMPRODUCT(--ISNUMBER(SEARCH(SensorKW,$K181)))&gt;0)</f>
        <v/>
      </c>
      <c r="M181" s="36" t="str">
        <f aca="false">IF($B181="","",SUMPRODUCT(--ISNUMBER(SEARCH(DisplayKW,$K181)))&gt;0)</f>
        <v/>
      </c>
      <c r="N181" s="36" t="str">
        <f aca="false">IF($B181="","",SUMPRODUCT(--ISNUMBER(SEARCH(KeypadKW,$K181)))&gt;0)</f>
        <v/>
      </c>
      <c r="O181" s="36" t="str">
        <f aca="false">IF($B181="","",SUMPRODUCT(--ISNUMBER(SEARCH(PowerKW,$K181)))&gt;0)</f>
        <v/>
      </c>
      <c r="P181" s="36" t="str">
        <f aca="false">IF($B181="","",SUMPRODUCT(--ISNUMBER(SEARCH(SpeakerKW,$K181)))&gt;0)</f>
        <v/>
      </c>
      <c r="Q181" s="36" t="str">
        <f aca="false">IF($B181="","",OR(SUMPRODUCT(--ISNUMBER(SEARCH(EmptyKW,$K181)))&gt;0,LOWER(TRIM($F181))="empty"))</f>
        <v/>
      </c>
      <c r="R181" s="36" t="str">
        <f aca="false">IF($B181="","",OR(ISNUMBER(SEARCH("repair",$G181)),ISNUMBER(SEARCH("not working",$G181))))</f>
        <v/>
      </c>
      <c r="S181" s="36" t="str">
        <f aca="false">IF(AND($B181&lt;&gt;"",$M181=TRUE(),$L181=FALSE(),$Q181=FALSE()),COUNTIFS($M$3:$M181,TRUE(),$L$3:$L181,FALSE(),$Q$3:$Q181,FALSE()),"")</f>
        <v/>
      </c>
      <c r="T181" s="36" t="str">
        <f aca="false">IF($B181="","",IF($Q181=TRUE(),"U1",IF($L181=TRUE(),"S1",IF($M181=TRUE(),"D"&amp;MIN(4,INT(($S181-1)/DisplayCapacity)+1),IF($N181=TRUE(),"K1",IF($O181=TRUE(),"P1",IF($P181=TRUE(),"U1",IF($R181=TRUE(),"U1","W"))))))))</f>
        <v/>
      </c>
      <c r="U181" s="36" t="str">
        <f aca="false">IF($T181="","",$T181&amp;"-"&amp;COUNTIF($T$3:T181,$T181))</f>
        <v/>
      </c>
      <c r="V181" s="36" t="str">
        <f aca="false">IF($B181="","",_xlfn.TEXTJOIN(" | ",TRUE(),IF($Q181=TRUE(),"Empty box - no physical device, verify status",""),IF(AND($P181=TRUE(),$L181=FALSE(),$M181=FALSE(),$N181=FALSE(),$O181=FALSE(),$Q181=FALSE()),"Speaker fault only - needs manual box assignment",""),IF(AND($R181=TRUE(),$L181=FALSE(),$M181=FALSE(),$N181=FALSE(),$O181=FALSE(),$P181=FALSE(),$Q181=FALSE()),"No fault detail given - needs technician inspection",""),IF(AND(COUNTIF($F$3:$F$252,$F181)&gt;1,LOWER(TRIM($F181))&lt;&gt;"empty"),"Duplicate Serial No - verify device identity",""),IF((--$L181+--$M181+--$N181+--$O181+--$P181)&gt;1,"Multiple fault types detected - review full details before repair","")))</f>
        <v/>
      </c>
      <c r="W181" s="36"/>
      <c r="X181" s="36"/>
    </row>
    <row r="182" customFormat="false" ht="15" hidden="false" customHeight="true" outlineLevel="0" collapsed="false">
      <c r="A182" s="36" t="str">
        <f aca="false">IF($B182="","",180)</f>
        <v/>
      </c>
      <c r="B182" s="37"/>
      <c r="C182" s="36"/>
      <c r="D182" s="36" t="str">
        <f aca="false">IF($B182="","",IFERROR(VLOOKUP(TRIM($C182),ModelMap,2,FALSE()),TRIM($C182)))</f>
        <v/>
      </c>
      <c r="E182" s="36"/>
      <c r="F182" s="36"/>
      <c r="G182" s="36"/>
      <c r="H182" s="36"/>
      <c r="I182" s="36"/>
      <c r="J182" s="36"/>
      <c r="K182" s="36" t="str">
        <f aca="false">IF($B182="","",LOWER(TRIM($G182)&amp;" | "&amp;TRIM($H182)&amp;" | "&amp;TRIM($I182)))</f>
        <v/>
      </c>
      <c r="L182" s="36" t="str">
        <f aca="false">IF($B182="","",SUMPRODUCT(--ISNUMBER(SEARCH(SensorKW,$K182)))&gt;0)</f>
        <v/>
      </c>
      <c r="M182" s="36" t="str">
        <f aca="false">IF($B182="","",SUMPRODUCT(--ISNUMBER(SEARCH(DisplayKW,$K182)))&gt;0)</f>
        <v/>
      </c>
      <c r="N182" s="36" t="str">
        <f aca="false">IF($B182="","",SUMPRODUCT(--ISNUMBER(SEARCH(KeypadKW,$K182)))&gt;0)</f>
        <v/>
      </c>
      <c r="O182" s="36" t="str">
        <f aca="false">IF($B182="","",SUMPRODUCT(--ISNUMBER(SEARCH(PowerKW,$K182)))&gt;0)</f>
        <v/>
      </c>
      <c r="P182" s="36" t="str">
        <f aca="false">IF($B182="","",SUMPRODUCT(--ISNUMBER(SEARCH(SpeakerKW,$K182)))&gt;0)</f>
        <v/>
      </c>
      <c r="Q182" s="36" t="str">
        <f aca="false">IF($B182="","",OR(SUMPRODUCT(--ISNUMBER(SEARCH(EmptyKW,$K182)))&gt;0,LOWER(TRIM($F182))="empty"))</f>
        <v/>
      </c>
      <c r="R182" s="36" t="str">
        <f aca="false">IF($B182="","",OR(ISNUMBER(SEARCH("repair",$G182)),ISNUMBER(SEARCH("not working",$G182))))</f>
        <v/>
      </c>
      <c r="S182" s="36" t="str">
        <f aca="false">IF(AND($B182&lt;&gt;"",$M182=TRUE(),$L182=FALSE(),$Q182=FALSE()),COUNTIFS($M$3:$M182,TRUE(),$L$3:$L182,FALSE(),$Q$3:$Q182,FALSE()),"")</f>
        <v/>
      </c>
      <c r="T182" s="36" t="str">
        <f aca="false">IF($B182="","",IF($Q182=TRUE(),"U1",IF($L182=TRUE(),"S1",IF($M182=TRUE(),"D"&amp;MIN(4,INT(($S182-1)/DisplayCapacity)+1),IF($N182=TRUE(),"K1",IF($O182=TRUE(),"P1",IF($P182=TRUE(),"U1",IF($R182=TRUE(),"U1","W"))))))))</f>
        <v/>
      </c>
      <c r="U182" s="36" t="str">
        <f aca="false">IF($T182="","",$T182&amp;"-"&amp;COUNTIF($T$3:T182,$T182))</f>
        <v/>
      </c>
      <c r="V182" s="36" t="str">
        <f aca="false">IF($B182="","",_xlfn.TEXTJOIN(" | ",TRUE(),IF($Q182=TRUE(),"Empty box - no physical device, verify status",""),IF(AND($P182=TRUE(),$L182=FALSE(),$M182=FALSE(),$N182=FALSE(),$O182=FALSE(),$Q182=FALSE()),"Speaker fault only - needs manual box assignment",""),IF(AND($R182=TRUE(),$L182=FALSE(),$M182=FALSE(),$N182=FALSE(),$O182=FALSE(),$P182=FALSE(),$Q182=FALSE()),"No fault detail given - needs technician inspection",""),IF(AND(COUNTIF($F$3:$F$252,$F182)&gt;1,LOWER(TRIM($F182))&lt;&gt;"empty"),"Duplicate Serial No - verify device identity",""),IF((--$L182+--$M182+--$N182+--$O182+--$P182)&gt;1,"Multiple fault types detected - review full details before repair","")))</f>
        <v/>
      </c>
      <c r="W182" s="36"/>
      <c r="X182" s="36"/>
    </row>
    <row r="183" customFormat="false" ht="15" hidden="false" customHeight="true" outlineLevel="0" collapsed="false">
      <c r="A183" s="36" t="str">
        <f aca="false">IF($B183="","",181)</f>
        <v/>
      </c>
      <c r="B183" s="37"/>
      <c r="C183" s="36"/>
      <c r="D183" s="36" t="str">
        <f aca="false">IF($B183="","",IFERROR(VLOOKUP(TRIM($C183),ModelMap,2,FALSE()),TRIM($C183)))</f>
        <v/>
      </c>
      <c r="E183" s="36"/>
      <c r="F183" s="36"/>
      <c r="G183" s="36"/>
      <c r="H183" s="36"/>
      <c r="I183" s="36"/>
      <c r="J183" s="36"/>
      <c r="K183" s="36" t="str">
        <f aca="false">IF($B183="","",LOWER(TRIM($G183)&amp;" | "&amp;TRIM($H183)&amp;" | "&amp;TRIM($I183)))</f>
        <v/>
      </c>
      <c r="L183" s="36" t="str">
        <f aca="false">IF($B183="","",SUMPRODUCT(--ISNUMBER(SEARCH(SensorKW,$K183)))&gt;0)</f>
        <v/>
      </c>
      <c r="M183" s="36" t="str">
        <f aca="false">IF($B183="","",SUMPRODUCT(--ISNUMBER(SEARCH(DisplayKW,$K183)))&gt;0)</f>
        <v/>
      </c>
      <c r="N183" s="36" t="str">
        <f aca="false">IF($B183="","",SUMPRODUCT(--ISNUMBER(SEARCH(KeypadKW,$K183)))&gt;0)</f>
        <v/>
      </c>
      <c r="O183" s="36" t="str">
        <f aca="false">IF($B183="","",SUMPRODUCT(--ISNUMBER(SEARCH(PowerKW,$K183)))&gt;0)</f>
        <v/>
      </c>
      <c r="P183" s="36" t="str">
        <f aca="false">IF($B183="","",SUMPRODUCT(--ISNUMBER(SEARCH(SpeakerKW,$K183)))&gt;0)</f>
        <v/>
      </c>
      <c r="Q183" s="36" t="str">
        <f aca="false">IF($B183="","",OR(SUMPRODUCT(--ISNUMBER(SEARCH(EmptyKW,$K183)))&gt;0,LOWER(TRIM($F183))="empty"))</f>
        <v/>
      </c>
      <c r="R183" s="36" t="str">
        <f aca="false">IF($B183="","",OR(ISNUMBER(SEARCH("repair",$G183)),ISNUMBER(SEARCH("not working",$G183))))</f>
        <v/>
      </c>
      <c r="S183" s="36" t="str">
        <f aca="false">IF(AND($B183&lt;&gt;"",$M183=TRUE(),$L183=FALSE(),$Q183=FALSE()),COUNTIFS($M$3:$M183,TRUE(),$L$3:$L183,FALSE(),$Q$3:$Q183,FALSE()),"")</f>
        <v/>
      </c>
      <c r="T183" s="36" t="str">
        <f aca="false">IF($B183="","",IF($Q183=TRUE(),"U1",IF($L183=TRUE(),"S1",IF($M183=TRUE(),"D"&amp;MIN(4,INT(($S183-1)/DisplayCapacity)+1),IF($N183=TRUE(),"K1",IF($O183=TRUE(),"P1",IF($P183=TRUE(),"U1",IF($R183=TRUE(),"U1","W"))))))))</f>
        <v/>
      </c>
      <c r="U183" s="36" t="str">
        <f aca="false">IF($T183="","",$T183&amp;"-"&amp;COUNTIF($T$3:T183,$T183))</f>
        <v/>
      </c>
      <c r="V183" s="36" t="str">
        <f aca="false">IF($B183="","",_xlfn.TEXTJOIN(" | ",TRUE(),IF($Q183=TRUE(),"Empty box - no physical device, verify status",""),IF(AND($P183=TRUE(),$L183=FALSE(),$M183=FALSE(),$N183=FALSE(),$O183=FALSE(),$Q183=FALSE()),"Speaker fault only - needs manual box assignment",""),IF(AND($R183=TRUE(),$L183=FALSE(),$M183=FALSE(),$N183=FALSE(),$O183=FALSE(),$P183=FALSE(),$Q183=FALSE()),"No fault detail given - needs technician inspection",""),IF(AND(COUNTIF($F$3:$F$252,$F183)&gt;1,LOWER(TRIM($F183))&lt;&gt;"empty"),"Duplicate Serial No - verify device identity",""),IF((--$L183+--$M183+--$N183+--$O183+--$P183)&gt;1,"Multiple fault types detected - review full details before repair","")))</f>
        <v/>
      </c>
      <c r="W183" s="36"/>
      <c r="X183" s="36"/>
    </row>
    <row r="184" customFormat="false" ht="15" hidden="false" customHeight="true" outlineLevel="0" collapsed="false">
      <c r="A184" s="36" t="str">
        <f aca="false">IF($B184="","",182)</f>
        <v/>
      </c>
      <c r="B184" s="37"/>
      <c r="C184" s="36"/>
      <c r="D184" s="36" t="str">
        <f aca="false">IF($B184="","",IFERROR(VLOOKUP(TRIM($C184),ModelMap,2,FALSE()),TRIM($C184)))</f>
        <v/>
      </c>
      <c r="E184" s="36"/>
      <c r="F184" s="36"/>
      <c r="G184" s="36"/>
      <c r="H184" s="36"/>
      <c r="I184" s="36"/>
      <c r="J184" s="36"/>
      <c r="K184" s="36" t="str">
        <f aca="false">IF($B184="","",LOWER(TRIM($G184)&amp;" | "&amp;TRIM($H184)&amp;" | "&amp;TRIM($I184)))</f>
        <v/>
      </c>
      <c r="L184" s="36" t="str">
        <f aca="false">IF($B184="","",SUMPRODUCT(--ISNUMBER(SEARCH(SensorKW,$K184)))&gt;0)</f>
        <v/>
      </c>
      <c r="M184" s="36" t="str">
        <f aca="false">IF($B184="","",SUMPRODUCT(--ISNUMBER(SEARCH(DisplayKW,$K184)))&gt;0)</f>
        <v/>
      </c>
      <c r="N184" s="36" t="str">
        <f aca="false">IF($B184="","",SUMPRODUCT(--ISNUMBER(SEARCH(KeypadKW,$K184)))&gt;0)</f>
        <v/>
      </c>
      <c r="O184" s="36" t="str">
        <f aca="false">IF($B184="","",SUMPRODUCT(--ISNUMBER(SEARCH(PowerKW,$K184)))&gt;0)</f>
        <v/>
      </c>
      <c r="P184" s="36" t="str">
        <f aca="false">IF($B184="","",SUMPRODUCT(--ISNUMBER(SEARCH(SpeakerKW,$K184)))&gt;0)</f>
        <v/>
      </c>
      <c r="Q184" s="36" t="str">
        <f aca="false">IF($B184="","",OR(SUMPRODUCT(--ISNUMBER(SEARCH(EmptyKW,$K184)))&gt;0,LOWER(TRIM($F184))="empty"))</f>
        <v/>
      </c>
      <c r="R184" s="36" t="str">
        <f aca="false">IF($B184="","",OR(ISNUMBER(SEARCH("repair",$G184)),ISNUMBER(SEARCH("not working",$G184))))</f>
        <v/>
      </c>
      <c r="S184" s="36" t="str">
        <f aca="false">IF(AND($B184&lt;&gt;"",$M184=TRUE(),$L184=FALSE(),$Q184=FALSE()),COUNTIFS($M$3:$M184,TRUE(),$L$3:$L184,FALSE(),$Q$3:$Q184,FALSE()),"")</f>
        <v/>
      </c>
      <c r="T184" s="36" t="str">
        <f aca="false">IF($B184="","",IF($Q184=TRUE(),"U1",IF($L184=TRUE(),"S1",IF($M184=TRUE(),"D"&amp;MIN(4,INT(($S184-1)/DisplayCapacity)+1),IF($N184=TRUE(),"K1",IF($O184=TRUE(),"P1",IF($P184=TRUE(),"U1",IF($R184=TRUE(),"U1","W"))))))))</f>
        <v/>
      </c>
      <c r="U184" s="36" t="str">
        <f aca="false">IF($T184="","",$T184&amp;"-"&amp;COUNTIF($T$3:T184,$T184))</f>
        <v/>
      </c>
      <c r="V184" s="36" t="str">
        <f aca="false">IF($B184="","",_xlfn.TEXTJOIN(" | ",TRUE(),IF($Q184=TRUE(),"Empty box - no physical device, verify status",""),IF(AND($P184=TRUE(),$L184=FALSE(),$M184=FALSE(),$N184=FALSE(),$O184=FALSE(),$Q184=FALSE()),"Speaker fault only - needs manual box assignment",""),IF(AND($R184=TRUE(),$L184=FALSE(),$M184=FALSE(),$N184=FALSE(),$O184=FALSE(),$P184=FALSE(),$Q184=FALSE()),"No fault detail given - needs technician inspection",""),IF(AND(COUNTIF($F$3:$F$252,$F184)&gt;1,LOWER(TRIM($F184))&lt;&gt;"empty"),"Duplicate Serial No - verify device identity",""),IF((--$L184+--$M184+--$N184+--$O184+--$P184)&gt;1,"Multiple fault types detected - review full details before repair","")))</f>
        <v/>
      </c>
      <c r="W184" s="36"/>
      <c r="X184" s="36"/>
    </row>
    <row r="185" customFormat="false" ht="15" hidden="false" customHeight="true" outlineLevel="0" collapsed="false">
      <c r="A185" s="36" t="str">
        <f aca="false">IF($B185="","",183)</f>
        <v/>
      </c>
      <c r="B185" s="37"/>
      <c r="C185" s="36"/>
      <c r="D185" s="36" t="str">
        <f aca="false">IF($B185="","",IFERROR(VLOOKUP(TRIM($C185),ModelMap,2,FALSE()),TRIM($C185)))</f>
        <v/>
      </c>
      <c r="E185" s="36"/>
      <c r="F185" s="36"/>
      <c r="G185" s="36"/>
      <c r="H185" s="36"/>
      <c r="I185" s="36"/>
      <c r="J185" s="36"/>
      <c r="K185" s="36" t="str">
        <f aca="false">IF($B185="","",LOWER(TRIM($G185)&amp;" | "&amp;TRIM($H185)&amp;" | "&amp;TRIM($I185)))</f>
        <v/>
      </c>
      <c r="L185" s="36" t="str">
        <f aca="false">IF($B185="","",SUMPRODUCT(--ISNUMBER(SEARCH(SensorKW,$K185)))&gt;0)</f>
        <v/>
      </c>
      <c r="M185" s="36" t="str">
        <f aca="false">IF($B185="","",SUMPRODUCT(--ISNUMBER(SEARCH(DisplayKW,$K185)))&gt;0)</f>
        <v/>
      </c>
      <c r="N185" s="36" t="str">
        <f aca="false">IF($B185="","",SUMPRODUCT(--ISNUMBER(SEARCH(KeypadKW,$K185)))&gt;0)</f>
        <v/>
      </c>
      <c r="O185" s="36" t="str">
        <f aca="false">IF($B185="","",SUMPRODUCT(--ISNUMBER(SEARCH(PowerKW,$K185)))&gt;0)</f>
        <v/>
      </c>
      <c r="P185" s="36" t="str">
        <f aca="false">IF($B185="","",SUMPRODUCT(--ISNUMBER(SEARCH(SpeakerKW,$K185)))&gt;0)</f>
        <v/>
      </c>
      <c r="Q185" s="36" t="str">
        <f aca="false">IF($B185="","",OR(SUMPRODUCT(--ISNUMBER(SEARCH(EmptyKW,$K185)))&gt;0,LOWER(TRIM($F185))="empty"))</f>
        <v/>
      </c>
      <c r="R185" s="36" t="str">
        <f aca="false">IF($B185="","",OR(ISNUMBER(SEARCH("repair",$G185)),ISNUMBER(SEARCH("not working",$G185))))</f>
        <v/>
      </c>
      <c r="S185" s="36" t="str">
        <f aca="false">IF(AND($B185&lt;&gt;"",$M185=TRUE(),$L185=FALSE(),$Q185=FALSE()),COUNTIFS($M$3:$M185,TRUE(),$L$3:$L185,FALSE(),$Q$3:$Q185,FALSE()),"")</f>
        <v/>
      </c>
      <c r="T185" s="36" t="str">
        <f aca="false">IF($B185="","",IF($Q185=TRUE(),"U1",IF($L185=TRUE(),"S1",IF($M185=TRUE(),"D"&amp;MIN(4,INT(($S185-1)/DisplayCapacity)+1),IF($N185=TRUE(),"K1",IF($O185=TRUE(),"P1",IF($P185=TRUE(),"U1",IF($R185=TRUE(),"U1","W"))))))))</f>
        <v/>
      </c>
      <c r="U185" s="36" t="str">
        <f aca="false">IF($T185="","",$T185&amp;"-"&amp;COUNTIF($T$3:T185,$T185))</f>
        <v/>
      </c>
      <c r="V185" s="36" t="str">
        <f aca="false">IF($B185="","",_xlfn.TEXTJOIN(" | ",TRUE(),IF($Q185=TRUE(),"Empty box - no physical device, verify status",""),IF(AND($P185=TRUE(),$L185=FALSE(),$M185=FALSE(),$N185=FALSE(),$O185=FALSE(),$Q185=FALSE()),"Speaker fault only - needs manual box assignment",""),IF(AND($R185=TRUE(),$L185=FALSE(),$M185=FALSE(),$N185=FALSE(),$O185=FALSE(),$P185=FALSE(),$Q185=FALSE()),"No fault detail given - needs technician inspection",""),IF(AND(COUNTIF($F$3:$F$252,$F185)&gt;1,LOWER(TRIM($F185))&lt;&gt;"empty"),"Duplicate Serial No - verify device identity",""),IF((--$L185+--$M185+--$N185+--$O185+--$P185)&gt;1,"Multiple fault types detected - review full details before repair","")))</f>
        <v/>
      </c>
      <c r="W185" s="36"/>
      <c r="X185" s="36"/>
    </row>
    <row r="186" customFormat="false" ht="15" hidden="false" customHeight="true" outlineLevel="0" collapsed="false">
      <c r="A186" s="36" t="str">
        <f aca="false">IF($B186="","",184)</f>
        <v/>
      </c>
      <c r="B186" s="37"/>
      <c r="C186" s="36"/>
      <c r="D186" s="36" t="str">
        <f aca="false">IF($B186="","",IFERROR(VLOOKUP(TRIM($C186),ModelMap,2,FALSE()),TRIM($C186)))</f>
        <v/>
      </c>
      <c r="E186" s="36"/>
      <c r="F186" s="36"/>
      <c r="G186" s="36"/>
      <c r="H186" s="36"/>
      <c r="I186" s="36"/>
      <c r="J186" s="36"/>
      <c r="K186" s="36" t="str">
        <f aca="false">IF($B186="","",LOWER(TRIM($G186)&amp;" | "&amp;TRIM($H186)&amp;" | "&amp;TRIM($I186)))</f>
        <v/>
      </c>
      <c r="L186" s="36" t="str">
        <f aca="false">IF($B186="","",SUMPRODUCT(--ISNUMBER(SEARCH(SensorKW,$K186)))&gt;0)</f>
        <v/>
      </c>
      <c r="M186" s="36" t="str">
        <f aca="false">IF($B186="","",SUMPRODUCT(--ISNUMBER(SEARCH(DisplayKW,$K186)))&gt;0)</f>
        <v/>
      </c>
      <c r="N186" s="36" t="str">
        <f aca="false">IF($B186="","",SUMPRODUCT(--ISNUMBER(SEARCH(KeypadKW,$K186)))&gt;0)</f>
        <v/>
      </c>
      <c r="O186" s="36" t="str">
        <f aca="false">IF($B186="","",SUMPRODUCT(--ISNUMBER(SEARCH(PowerKW,$K186)))&gt;0)</f>
        <v/>
      </c>
      <c r="P186" s="36" t="str">
        <f aca="false">IF($B186="","",SUMPRODUCT(--ISNUMBER(SEARCH(SpeakerKW,$K186)))&gt;0)</f>
        <v/>
      </c>
      <c r="Q186" s="36" t="str">
        <f aca="false">IF($B186="","",OR(SUMPRODUCT(--ISNUMBER(SEARCH(EmptyKW,$K186)))&gt;0,LOWER(TRIM($F186))="empty"))</f>
        <v/>
      </c>
      <c r="R186" s="36" t="str">
        <f aca="false">IF($B186="","",OR(ISNUMBER(SEARCH("repair",$G186)),ISNUMBER(SEARCH("not working",$G186))))</f>
        <v/>
      </c>
      <c r="S186" s="36" t="str">
        <f aca="false">IF(AND($B186&lt;&gt;"",$M186=TRUE(),$L186=FALSE(),$Q186=FALSE()),COUNTIFS($M$3:$M186,TRUE(),$L$3:$L186,FALSE(),$Q$3:$Q186,FALSE()),"")</f>
        <v/>
      </c>
      <c r="T186" s="36" t="str">
        <f aca="false">IF($B186="","",IF($Q186=TRUE(),"U1",IF($L186=TRUE(),"S1",IF($M186=TRUE(),"D"&amp;MIN(4,INT(($S186-1)/DisplayCapacity)+1),IF($N186=TRUE(),"K1",IF($O186=TRUE(),"P1",IF($P186=TRUE(),"U1",IF($R186=TRUE(),"U1","W"))))))))</f>
        <v/>
      </c>
      <c r="U186" s="36" t="str">
        <f aca="false">IF($T186="","",$T186&amp;"-"&amp;COUNTIF($T$3:T186,$T186))</f>
        <v/>
      </c>
      <c r="V186" s="36" t="str">
        <f aca="false">IF($B186="","",_xlfn.TEXTJOIN(" | ",TRUE(),IF($Q186=TRUE(),"Empty box - no physical device, verify status",""),IF(AND($P186=TRUE(),$L186=FALSE(),$M186=FALSE(),$N186=FALSE(),$O186=FALSE(),$Q186=FALSE()),"Speaker fault only - needs manual box assignment",""),IF(AND($R186=TRUE(),$L186=FALSE(),$M186=FALSE(),$N186=FALSE(),$O186=FALSE(),$P186=FALSE(),$Q186=FALSE()),"No fault detail given - needs technician inspection",""),IF(AND(COUNTIF($F$3:$F$252,$F186)&gt;1,LOWER(TRIM($F186))&lt;&gt;"empty"),"Duplicate Serial No - verify device identity",""),IF((--$L186+--$M186+--$N186+--$O186+--$P186)&gt;1,"Multiple fault types detected - review full details before repair","")))</f>
        <v/>
      </c>
      <c r="W186" s="36"/>
      <c r="X186" s="36"/>
    </row>
    <row r="187" customFormat="false" ht="15" hidden="false" customHeight="true" outlineLevel="0" collapsed="false">
      <c r="A187" s="36" t="str">
        <f aca="false">IF($B187="","",185)</f>
        <v/>
      </c>
      <c r="B187" s="37"/>
      <c r="C187" s="36"/>
      <c r="D187" s="36" t="str">
        <f aca="false">IF($B187="","",IFERROR(VLOOKUP(TRIM($C187),ModelMap,2,FALSE()),TRIM($C187)))</f>
        <v/>
      </c>
      <c r="E187" s="36"/>
      <c r="F187" s="36"/>
      <c r="G187" s="36"/>
      <c r="H187" s="36"/>
      <c r="I187" s="36"/>
      <c r="J187" s="36"/>
      <c r="K187" s="36" t="str">
        <f aca="false">IF($B187="","",LOWER(TRIM($G187)&amp;" | "&amp;TRIM($H187)&amp;" | "&amp;TRIM($I187)))</f>
        <v/>
      </c>
      <c r="L187" s="36" t="str">
        <f aca="false">IF($B187="","",SUMPRODUCT(--ISNUMBER(SEARCH(SensorKW,$K187)))&gt;0)</f>
        <v/>
      </c>
      <c r="M187" s="36" t="str">
        <f aca="false">IF($B187="","",SUMPRODUCT(--ISNUMBER(SEARCH(DisplayKW,$K187)))&gt;0)</f>
        <v/>
      </c>
      <c r="N187" s="36" t="str">
        <f aca="false">IF($B187="","",SUMPRODUCT(--ISNUMBER(SEARCH(KeypadKW,$K187)))&gt;0)</f>
        <v/>
      </c>
      <c r="O187" s="36" t="str">
        <f aca="false">IF($B187="","",SUMPRODUCT(--ISNUMBER(SEARCH(PowerKW,$K187)))&gt;0)</f>
        <v/>
      </c>
      <c r="P187" s="36" t="str">
        <f aca="false">IF($B187="","",SUMPRODUCT(--ISNUMBER(SEARCH(SpeakerKW,$K187)))&gt;0)</f>
        <v/>
      </c>
      <c r="Q187" s="36" t="str">
        <f aca="false">IF($B187="","",OR(SUMPRODUCT(--ISNUMBER(SEARCH(EmptyKW,$K187)))&gt;0,LOWER(TRIM($F187))="empty"))</f>
        <v/>
      </c>
      <c r="R187" s="36" t="str">
        <f aca="false">IF($B187="","",OR(ISNUMBER(SEARCH("repair",$G187)),ISNUMBER(SEARCH("not working",$G187))))</f>
        <v/>
      </c>
      <c r="S187" s="36" t="str">
        <f aca="false">IF(AND($B187&lt;&gt;"",$M187=TRUE(),$L187=FALSE(),$Q187=FALSE()),COUNTIFS($M$3:$M187,TRUE(),$L$3:$L187,FALSE(),$Q$3:$Q187,FALSE()),"")</f>
        <v/>
      </c>
      <c r="T187" s="36" t="str">
        <f aca="false">IF($B187="","",IF($Q187=TRUE(),"U1",IF($L187=TRUE(),"S1",IF($M187=TRUE(),"D"&amp;MIN(4,INT(($S187-1)/DisplayCapacity)+1),IF($N187=TRUE(),"K1",IF($O187=TRUE(),"P1",IF($P187=TRUE(),"U1",IF($R187=TRUE(),"U1","W"))))))))</f>
        <v/>
      </c>
      <c r="U187" s="36" t="str">
        <f aca="false">IF($T187="","",$T187&amp;"-"&amp;COUNTIF($T$3:T187,$T187))</f>
        <v/>
      </c>
      <c r="V187" s="36" t="str">
        <f aca="false">IF($B187="","",_xlfn.TEXTJOIN(" | ",TRUE(),IF($Q187=TRUE(),"Empty box - no physical device, verify status",""),IF(AND($P187=TRUE(),$L187=FALSE(),$M187=FALSE(),$N187=FALSE(),$O187=FALSE(),$Q187=FALSE()),"Speaker fault only - needs manual box assignment",""),IF(AND($R187=TRUE(),$L187=FALSE(),$M187=FALSE(),$N187=FALSE(),$O187=FALSE(),$P187=FALSE(),$Q187=FALSE()),"No fault detail given - needs technician inspection",""),IF(AND(COUNTIF($F$3:$F$252,$F187)&gt;1,LOWER(TRIM($F187))&lt;&gt;"empty"),"Duplicate Serial No - verify device identity",""),IF((--$L187+--$M187+--$N187+--$O187+--$P187)&gt;1,"Multiple fault types detected - review full details before repair","")))</f>
        <v/>
      </c>
      <c r="W187" s="36"/>
      <c r="X187" s="36"/>
    </row>
    <row r="188" customFormat="false" ht="15" hidden="false" customHeight="true" outlineLevel="0" collapsed="false">
      <c r="A188" s="36" t="str">
        <f aca="false">IF($B188="","",186)</f>
        <v/>
      </c>
      <c r="B188" s="37"/>
      <c r="C188" s="36"/>
      <c r="D188" s="36" t="str">
        <f aca="false">IF($B188="","",IFERROR(VLOOKUP(TRIM($C188),ModelMap,2,FALSE()),TRIM($C188)))</f>
        <v/>
      </c>
      <c r="E188" s="36"/>
      <c r="F188" s="36"/>
      <c r="G188" s="36"/>
      <c r="H188" s="36"/>
      <c r="I188" s="36"/>
      <c r="J188" s="36"/>
      <c r="K188" s="36" t="str">
        <f aca="false">IF($B188="","",LOWER(TRIM($G188)&amp;" | "&amp;TRIM($H188)&amp;" | "&amp;TRIM($I188)))</f>
        <v/>
      </c>
      <c r="L188" s="36" t="str">
        <f aca="false">IF($B188="","",SUMPRODUCT(--ISNUMBER(SEARCH(SensorKW,$K188)))&gt;0)</f>
        <v/>
      </c>
      <c r="M188" s="36" t="str">
        <f aca="false">IF($B188="","",SUMPRODUCT(--ISNUMBER(SEARCH(DisplayKW,$K188)))&gt;0)</f>
        <v/>
      </c>
      <c r="N188" s="36" t="str">
        <f aca="false">IF($B188="","",SUMPRODUCT(--ISNUMBER(SEARCH(KeypadKW,$K188)))&gt;0)</f>
        <v/>
      </c>
      <c r="O188" s="36" t="str">
        <f aca="false">IF($B188="","",SUMPRODUCT(--ISNUMBER(SEARCH(PowerKW,$K188)))&gt;0)</f>
        <v/>
      </c>
      <c r="P188" s="36" t="str">
        <f aca="false">IF($B188="","",SUMPRODUCT(--ISNUMBER(SEARCH(SpeakerKW,$K188)))&gt;0)</f>
        <v/>
      </c>
      <c r="Q188" s="36" t="str">
        <f aca="false">IF($B188="","",OR(SUMPRODUCT(--ISNUMBER(SEARCH(EmptyKW,$K188)))&gt;0,LOWER(TRIM($F188))="empty"))</f>
        <v/>
      </c>
      <c r="R188" s="36" t="str">
        <f aca="false">IF($B188="","",OR(ISNUMBER(SEARCH("repair",$G188)),ISNUMBER(SEARCH("not working",$G188))))</f>
        <v/>
      </c>
      <c r="S188" s="36" t="str">
        <f aca="false">IF(AND($B188&lt;&gt;"",$M188=TRUE(),$L188=FALSE(),$Q188=FALSE()),COUNTIFS($M$3:$M188,TRUE(),$L$3:$L188,FALSE(),$Q$3:$Q188,FALSE()),"")</f>
        <v/>
      </c>
      <c r="T188" s="36" t="str">
        <f aca="false">IF($B188="","",IF($Q188=TRUE(),"U1",IF($L188=TRUE(),"S1",IF($M188=TRUE(),"D"&amp;MIN(4,INT(($S188-1)/DisplayCapacity)+1),IF($N188=TRUE(),"K1",IF($O188=TRUE(),"P1",IF($P188=TRUE(),"U1",IF($R188=TRUE(),"U1","W"))))))))</f>
        <v/>
      </c>
      <c r="U188" s="36" t="str">
        <f aca="false">IF($T188="","",$T188&amp;"-"&amp;COUNTIF($T$3:T188,$T188))</f>
        <v/>
      </c>
      <c r="V188" s="36" t="str">
        <f aca="false">IF($B188="","",_xlfn.TEXTJOIN(" | ",TRUE(),IF($Q188=TRUE(),"Empty box - no physical device, verify status",""),IF(AND($P188=TRUE(),$L188=FALSE(),$M188=FALSE(),$N188=FALSE(),$O188=FALSE(),$Q188=FALSE()),"Speaker fault only - needs manual box assignment",""),IF(AND($R188=TRUE(),$L188=FALSE(),$M188=FALSE(),$N188=FALSE(),$O188=FALSE(),$P188=FALSE(),$Q188=FALSE()),"No fault detail given - needs technician inspection",""),IF(AND(COUNTIF($F$3:$F$252,$F188)&gt;1,LOWER(TRIM($F188))&lt;&gt;"empty"),"Duplicate Serial No - verify device identity",""),IF((--$L188+--$M188+--$N188+--$O188+--$P188)&gt;1,"Multiple fault types detected - review full details before repair","")))</f>
        <v/>
      </c>
      <c r="W188" s="36"/>
      <c r="X188" s="36"/>
    </row>
    <row r="189" customFormat="false" ht="15" hidden="false" customHeight="true" outlineLevel="0" collapsed="false">
      <c r="A189" s="36" t="str">
        <f aca="false">IF($B189="","",187)</f>
        <v/>
      </c>
      <c r="B189" s="37"/>
      <c r="C189" s="36"/>
      <c r="D189" s="36" t="str">
        <f aca="false">IF($B189="","",IFERROR(VLOOKUP(TRIM($C189),ModelMap,2,FALSE()),TRIM($C189)))</f>
        <v/>
      </c>
      <c r="E189" s="36"/>
      <c r="F189" s="36"/>
      <c r="G189" s="36"/>
      <c r="H189" s="36"/>
      <c r="I189" s="36"/>
      <c r="J189" s="36"/>
      <c r="K189" s="36" t="str">
        <f aca="false">IF($B189="","",LOWER(TRIM($G189)&amp;" | "&amp;TRIM($H189)&amp;" | "&amp;TRIM($I189)))</f>
        <v/>
      </c>
      <c r="L189" s="36" t="str">
        <f aca="false">IF($B189="","",SUMPRODUCT(--ISNUMBER(SEARCH(SensorKW,$K189)))&gt;0)</f>
        <v/>
      </c>
      <c r="M189" s="36" t="str">
        <f aca="false">IF($B189="","",SUMPRODUCT(--ISNUMBER(SEARCH(DisplayKW,$K189)))&gt;0)</f>
        <v/>
      </c>
      <c r="N189" s="36" t="str">
        <f aca="false">IF($B189="","",SUMPRODUCT(--ISNUMBER(SEARCH(KeypadKW,$K189)))&gt;0)</f>
        <v/>
      </c>
      <c r="O189" s="36" t="str">
        <f aca="false">IF($B189="","",SUMPRODUCT(--ISNUMBER(SEARCH(PowerKW,$K189)))&gt;0)</f>
        <v/>
      </c>
      <c r="P189" s="36" t="str">
        <f aca="false">IF($B189="","",SUMPRODUCT(--ISNUMBER(SEARCH(SpeakerKW,$K189)))&gt;0)</f>
        <v/>
      </c>
      <c r="Q189" s="36" t="str">
        <f aca="false">IF($B189="","",OR(SUMPRODUCT(--ISNUMBER(SEARCH(EmptyKW,$K189)))&gt;0,LOWER(TRIM($F189))="empty"))</f>
        <v/>
      </c>
      <c r="R189" s="36" t="str">
        <f aca="false">IF($B189="","",OR(ISNUMBER(SEARCH("repair",$G189)),ISNUMBER(SEARCH("not working",$G189))))</f>
        <v/>
      </c>
      <c r="S189" s="36" t="str">
        <f aca="false">IF(AND($B189&lt;&gt;"",$M189=TRUE(),$L189=FALSE(),$Q189=FALSE()),COUNTIFS($M$3:$M189,TRUE(),$L$3:$L189,FALSE(),$Q$3:$Q189,FALSE()),"")</f>
        <v/>
      </c>
      <c r="T189" s="36" t="str">
        <f aca="false">IF($B189="","",IF($Q189=TRUE(),"U1",IF($L189=TRUE(),"S1",IF($M189=TRUE(),"D"&amp;MIN(4,INT(($S189-1)/DisplayCapacity)+1),IF($N189=TRUE(),"K1",IF($O189=TRUE(),"P1",IF($P189=TRUE(),"U1",IF($R189=TRUE(),"U1","W"))))))))</f>
        <v/>
      </c>
      <c r="U189" s="36" t="str">
        <f aca="false">IF($T189="","",$T189&amp;"-"&amp;COUNTIF($T$3:T189,$T189))</f>
        <v/>
      </c>
      <c r="V189" s="36" t="str">
        <f aca="false">IF($B189="","",_xlfn.TEXTJOIN(" | ",TRUE(),IF($Q189=TRUE(),"Empty box - no physical device, verify status",""),IF(AND($P189=TRUE(),$L189=FALSE(),$M189=FALSE(),$N189=FALSE(),$O189=FALSE(),$Q189=FALSE()),"Speaker fault only - needs manual box assignment",""),IF(AND($R189=TRUE(),$L189=FALSE(),$M189=FALSE(),$N189=FALSE(),$O189=FALSE(),$P189=FALSE(),$Q189=FALSE()),"No fault detail given - needs technician inspection",""),IF(AND(COUNTIF($F$3:$F$252,$F189)&gt;1,LOWER(TRIM($F189))&lt;&gt;"empty"),"Duplicate Serial No - verify device identity",""),IF((--$L189+--$M189+--$N189+--$O189+--$P189)&gt;1,"Multiple fault types detected - review full details before repair","")))</f>
        <v/>
      </c>
      <c r="W189" s="36"/>
      <c r="X189" s="36"/>
    </row>
    <row r="190" customFormat="false" ht="15" hidden="false" customHeight="true" outlineLevel="0" collapsed="false">
      <c r="A190" s="36" t="str">
        <f aca="false">IF($B190="","",188)</f>
        <v/>
      </c>
      <c r="B190" s="37"/>
      <c r="C190" s="36"/>
      <c r="D190" s="36" t="str">
        <f aca="false">IF($B190="","",IFERROR(VLOOKUP(TRIM($C190),ModelMap,2,FALSE()),TRIM($C190)))</f>
        <v/>
      </c>
      <c r="E190" s="36"/>
      <c r="F190" s="36"/>
      <c r="G190" s="36"/>
      <c r="H190" s="36"/>
      <c r="I190" s="36"/>
      <c r="J190" s="36"/>
      <c r="K190" s="36" t="str">
        <f aca="false">IF($B190="","",LOWER(TRIM($G190)&amp;" | "&amp;TRIM($H190)&amp;" | "&amp;TRIM($I190)))</f>
        <v/>
      </c>
      <c r="L190" s="36" t="str">
        <f aca="false">IF($B190="","",SUMPRODUCT(--ISNUMBER(SEARCH(SensorKW,$K190)))&gt;0)</f>
        <v/>
      </c>
      <c r="M190" s="36" t="str">
        <f aca="false">IF($B190="","",SUMPRODUCT(--ISNUMBER(SEARCH(DisplayKW,$K190)))&gt;0)</f>
        <v/>
      </c>
      <c r="N190" s="36" t="str">
        <f aca="false">IF($B190="","",SUMPRODUCT(--ISNUMBER(SEARCH(KeypadKW,$K190)))&gt;0)</f>
        <v/>
      </c>
      <c r="O190" s="36" t="str">
        <f aca="false">IF($B190="","",SUMPRODUCT(--ISNUMBER(SEARCH(PowerKW,$K190)))&gt;0)</f>
        <v/>
      </c>
      <c r="P190" s="36" t="str">
        <f aca="false">IF($B190="","",SUMPRODUCT(--ISNUMBER(SEARCH(SpeakerKW,$K190)))&gt;0)</f>
        <v/>
      </c>
      <c r="Q190" s="36" t="str">
        <f aca="false">IF($B190="","",OR(SUMPRODUCT(--ISNUMBER(SEARCH(EmptyKW,$K190)))&gt;0,LOWER(TRIM($F190))="empty"))</f>
        <v/>
      </c>
      <c r="R190" s="36" t="str">
        <f aca="false">IF($B190="","",OR(ISNUMBER(SEARCH("repair",$G190)),ISNUMBER(SEARCH("not working",$G190))))</f>
        <v/>
      </c>
      <c r="S190" s="36" t="str">
        <f aca="false">IF(AND($B190&lt;&gt;"",$M190=TRUE(),$L190=FALSE(),$Q190=FALSE()),COUNTIFS($M$3:$M190,TRUE(),$L$3:$L190,FALSE(),$Q$3:$Q190,FALSE()),"")</f>
        <v/>
      </c>
      <c r="T190" s="36" t="str">
        <f aca="false">IF($B190="","",IF($Q190=TRUE(),"U1",IF($L190=TRUE(),"S1",IF($M190=TRUE(),"D"&amp;MIN(4,INT(($S190-1)/DisplayCapacity)+1),IF($N190=TRUE(),"K1",IF($O190=TRUE(),"P1",IF($P190=TRUE(),"U1",IF($R190=TRUE(),"U1","W"))))))))</f>
        <v/>
      </c>
      <c r="U190" s="36" t="str">
        <f aca="false">IF($T190="","",$T190&amp;"-"&amp;COUNTIF($T$3:T190,$T190))</f>
        <v/>
      </c>
      <c r="V190" s="36" t="str">
        <f aca="false">IF($B190="","",_xlfn.TEXTJOIN(" | ",TRUE(),IF($Q190=TRUE(),"Empty box - no physical device, verify status",""),IF(AND($P190=TRUE(),$L190=FALSE(),$M190=FALSE(),$N190=FALSE(),$O190=FALSE(),$Q190=FALSE()),"Speaker fault only - needs manual box assignment",""),IF(AND($R190=TRUE(),$L190=FALSE(),$M190=FALSE(),$N190=FALSE(),$O190=FALSE(),$P190=FALSE(),$Q190=FALSE()),"No fault detail given - needs technician inspection",""),IF(AND(COUNTIF($F$3:$F$252,$F190)&gt;1,LOWER(TRIM($F190))&lt;&gt;"empty"),"Duplicate Serial No - verify device identity",""),IF((--$L190+--$M190+--$N190+--$O190+--$P190)&gt;1,"Multiple fault types detected - review full details before repair","")))</f>
        <v/>
      </c>
      <c r="W190" s="36"/>
      <c r="X190" s="36"/>
    </row>
    <row r="191" customFormat="false" ht="15" hidden="false" customHeight="true" outlineLevel="0" collapsed="false">
      <c r="A191" s="36" t="str">
        <f aca="false">IF($B191="","",189)</f>
        <v/>
      </c>
      <c r="B191" s="37"/>
      <c r="C191" s="36"/>
      <c r="D191" s="36" t="str">
        <f aca="false">IF($B191="","",IFERROR(VLOOKUP(TRIM($C191),ModelMap,2,FALSE()),TRIM($C191)))</f>
        <v/>
      </c>
      <c r="E191" s="36"/>
      <c r="F191" s="36"/>
      <c r="G191" s="36"/>
      <c r="H191" s="36"/>
      <c r="I191" s="36"/>
      <c r="J191" s="36"/>
      <c r="K191" s="36" t="str">
        <f aca="false">IF($B191="","",LOWER(TRIM($G191)&amp;" | "&amp;TRIM($H191)&amp;" | "&amp;TRIM($I191)))</f>
        <v/>
      </c>
      <c r="L191" s="36" t="str">
        <f aca="false">IF($B191="","",SUMPRODUCT(--ISNUMBER(SEARCH(SensorKW,$K191)))&gt;0)</f>
        <v/>
      </c>
      <c r="M191" s="36" t="str">
        <f aca="false">IF($B191="","",SUMPRODUCT(--ISNUMBER(SEARCH(DisplayKW,$K191)))&gt;0)</f>
        <v/>
      </c>
      <c r="N191" s="36" t="str">
        <f aca="false">IF($B191="","",SUMPRODUCT(--ISNUMBER(SEARCH(KeypadKW,$K191)))&gt;0)</f>
        <v/>
      </c>
      <c r="O191" s="36" t="str">
        <f aca="false">IF($B191="","",SUMPRODUCT(--ISNUMBER(SEARCH(PowerKW,$K191)))&gt;0)</f>
        <v/>
      </c>
      <c r="P191" s="36" t="str">
        <f aca="false">IF($B191="","",SUMPRODUCT(--ISNUMBER(SEARCH(SpeakerKW,$K191)))&gt;0)</f>
        <v/>
      </c>
      <c r="Q191" s="36" t="str">
        <f aca="false">IF($B191="","",OR(SUMPRODUCT(--ISNUMBER(SEARCH(EmptyKW,$K191)))&gt;0,LOWER(TRIM($F191))="empty"))</f>
        <v/>
      </c>
      <c r="R191" s="36" t="str">
        <f aca="false">IF($B191="","",OR(ISNUMBER(SEARCH("repair",$G191)),ISNUMBER(SEARCH("not working",$G191))))</f>
        <v/>
      </c>
      <c r="S191" s="36" t="str">
        <f aca="false">IF(AND($B191&lt;&gt;"",$M191=TRUE(),$L191=FALSE(),$Q191=FALSE()),COUNTIFS($M$3:$M191,TRUE(),$L$3:$L191,FALSE(),$Q$3:$Q191,FALSE()),"")</f>
        <v/>
      </c>
      <c r="T191" s="36" t="str">
        <f aca="false">IF($B191="","",IF($Q191=TRUE(),"U1",IF($L191=TRUE(),"S1",IF($M191=TRUE(),"D"&amp;MIN(4,INT(($S191-1)/DisplayCapacity)+1),IF($N191=TRUE(),"K1",IF($O191=TRUE(),"P1",IF($P191=TRUE(),"U1",IF($R191=TRUE(),"U1","W"))))))))</f>
        <v/>
      </c>
      <c r="U191" s="36" t="str">
        <f aca="false">IF($T191="","",$T191&amp;"-"&amp;COUNTIF($T$3:T191,$T191))</f>
        <v/>
      </c>
      <c r="V191" s="36" t="str">
        <f aca="false">IF($B191="","",_xlfn.TEXTJOIN(" | ",TRUE(),IF($Q191=TRUE(),"Empty box - no physical device, verify status",""),IF(AND($P191=TRUE(),$L191=FALSE(),$M191=FALSE(),$N191=FALSE(),$O191=FALSE(),$Q191=FALSE()),"Speaker fault only - needs manual box assignment",""),IF(AND($R191=TRUE(),$L191=FALSE(),$M191=FALSE(),$N191=FALSE(),$O191=FALSE(),$P191=FALSE(),$Q191=FALSE()),"No fault detail given - needs technician inspection",""),IF(AND(COUNTIF($F$3:$F$252,$F191)&gt;1,LOWER(TRIM($F191))&lt;&gt;"empty"),"Duplicate Serial No - verify device identity",""),IF((--$L191+--$M191+--$N191+--$O191+--$P191)&gt;1,"Multiple fault types detected - review full details before repair","")))</f>
        <v/>
      </c>
      <c r="W191" s="36"/>
      <c r="X191" s="36"/>
    </row>
    <row r="192" customFormat="false" ht="15" hidden="false" customHeight="true" outlineLevel="0" collapsed="false">
      <c r="A192" s="36" t="str">
        <f aca="false">IF($B192="","",190)</f>
        <v/>
      </c>
      <c r="B192" s="37"/>
      <c r="C192" s="36"/>
      <c r="D192" s="36" t="str">
        <f aca="false">IF($B192="","",IFERROR(VLOOKUP(TRIM($C192),ModelMap,2,FALSE()),TRIM($C192)))</f>
        <v/>
      </c>
      <c r="E192" s="36"/>
      <c r="F192" s="36"/>
      <c r="G192" s="36"/>
      <c r="H192" s="36"/>
      <c r="I192" s="36"/>
      <c r="J192" s="36"/>
      <c r="K192" s="36" t="str">
        <f aca="false">IF($B192="","",LOWER(TRIM($G192)&amp;" | "&amp;TRIM($H192)&amp;" | "&amp;TRIM($I192)))</f>
        <v/>
      </c>
      <c r="L192" s="36" t="str">
        <f aca="false">IF($B192="","",SUMPRODUCT(--ISNUMBER(SEARCH(SensorKW,$K192)))&gt;0)</f>
        <v/>
      </c>
      <c r="M192" s="36" t="str">
        <f aca="false">IF($B192="","",SUMPRODUCT(--ISNUMBER(SEARCH(DisplayKW,$K192)))&gt;0)</f>
        <v/>
      </c>
      <c r="N192" s="36" t="str">
        <f aca="false">IF($B192="","",SUMPRODUCT(--ISNUMBER(SEARCH(KeypadKW,$K192)))&gt;0)</f>
        <v/>
      </c>
      <c r="O192" s="36" t="str">
        <f aca="false">IF($B192="","",SUMPRODUCT(--ISNUMBER(SEARCH(PowerKW,$K192)))&gt;0)</f>
        <v/>
      </c>
      <c r="P192" s="36" t="str">
        <f aca="false">IF($B192="","",SUMPRODUCT(--ISNUMBER(SEARCH(SpeakerKW,$K192)))&gt;0)</f>
        <v/>
      </c>
      <c r="Q192" s="36" t="str">
        <f aca="false">IF($B192="","",OR(SUMPRODUCT(--ISNUMBER(SEARCH(EmptyKW,$K192)))&gt;0,LOWER(TRIM($F192))="empty"))</f>
        <v/>
      </c>
      <c r="R192" s="36" t="str">
        <f aca="false">IF($B192="","",OR(ISNUMBER(SEARCH("repair",$G192)),ISNUMBER(SEARCH("not working",$G192))))</f>
        <v/>
      </c>
      <c r="S192" s="36" t="str">
        <f aca="false">IF(AND($B192&lt;&gt;"",$M192=TRUE(),$L192=FALSE(),$Q192=FALSE()),COUNTIFS($M$3:$M192,TRUE(),$L$3:$L192,FALSE(),$Q$3:$Q192,FALSE()),"")</f>
        <v/>
      </c>
      <c r="T192" s="36" t="str">
        <f aca="false">IF($B192="","",IF($Q192=TRUE(),"U1",IF($L192=TRUE(),"S1",IF($M192=TRUE(),"D"&amp;MIN(4,INT(($S192-1)/DisplayCapacity)+1),IF($N192=TRUE(),"K1",IF($O192=TRUE(),"P1",IF($P192=TRUE(),"U1",IF($R192=TRUE(),"U1","W"))))))))</f>
        <v/>
      </c>
      <c r="U192" s="36" t="str">
        <f aca="false">IF($T192="","",$T192&amp;"-"&amp;COUNTIF($T$3:T192,$T192))</f>
        <v/>
      </c>
      <c r="V192" s="36" t="str">
        <f aca="false">IF($B192="","",_xlfn.TEXTJOIN(" | ",TRUE(),IF($Q192=TRUE(),"Empty box - no physical device, verify status",""),IF(AND($P192=TRUE(),$L192=FALSE(),$M192=FALSE(),$N192=FALSE(),$O192=FALSE(),$Q192=FALSE()),"Speaker fault only - needs manual box assignment",""),IF(AND($R192=TRUE(),$L192=FALSE(),$M192=FALSE(),$N192=FALSE(),$O192=FALSE(),$P192=FALSE(),$Q192=FALSE()),"No fault detail given - needs technician inspection",""),IF(AND(COUNTIF($F$3:$F$252,$F192)&gt;1,LOWER(TRIM($F192))&lt;&gt;"empty"),"Duplicate Serial No - verify device identity",""),IF((--$L192+--$M192+--$N192+--$O192+--$P192)&gt;1,"Multiple fault types detected - review full details before repair","")))</f>
        <v/>
      </c>
      <c r="W192" s="36"/>
      <c r="X192" s="36"/>
    </row>
    <row r="193" customFormat="false" ht="15" hidden="false" customHeight="true" outlineLevel="0" collapsed="false">
      <c r="A193" s="36" t="str">
        <f aca="false">IF($B193="","",191)</f>
        <v/>
      </c>
      <c r="B193" s="37"/>
      <c r="C193" s="36"/>
      <c r="D193" s="36" t="str">
        <f aca="false">IF($B193="","",IFERROR(VLOOKUP(TRIM($C193),ModelMap,2,FALSE()),TRIM($C193)))</f>
        <v/>
      </c>
      <c r="E193" s="36"/>
      <c r="F193" s="36"/>
      <c r="G193" s="36"/>
      <c r="H193" s="36"/>
      <c r="I193" s="36"/>
      <c r="J193" s="36"/>
      <c r="K193" s="36" t="str">
        <f aca="false">IF($B193="","",LOWER(TRIM($G193)&amp;" | "&amp;TRIM($H193)&amp;" | "&amp;TRIM($I193)))</f>
        <v/>
      </c>
      <c r="L193" s="36" t="str">
        <f aca="false">IF($B193="","",SUMPRODUCT(--ISNUMBER(SEARCH(SensorKW,$K193)))&gt;0)</f>
        <v/>
      </c>
      <c r="M193" s="36" t="str">
        <f aca="false">IF($B193="","",SUMPRODUCT(--ISNUMBER(SEARCH(DisplayKW,$K193)))&gt;0)</f>
        <v/>
      </c>
      <c r="N193" s="36" t="str">
        <f aca="false">IF($B193="","",SUMPRODUCT(--ISNUMBER(SEARCH(KeypadKW,$K193)))&gt;0)</f>
        <v/>
      </c>
      <c r="O193" s="36" t="str">
        <f aca="false">IF($B193="","",SUMPRODUCT(--ISNUMBER(SEARCH(PowerKW,$K193)))&gt;0)</f>
        <v/>
      </c>
      <c r="P193" s="36" t="str">
        <f aca="false">IF($B193="","",SUMPRODUCT(--ISNUMBER(SEARCH(SpeakerKW,$K193)))&gt;0)</f>
        <v/>
      </c>
      <c r="Q193" s="36" t="str">
        <f aca="false">IF($B193="","",OR(SUMPRODUCT(--ISNUMBER(SEARCH(EmptyKW,$K193)))&gt;0,LOWER(TRIM($F193))="empty"))</f>
        <v/>
      </c>
      <c r="R193" s="36" t="str">
        <f aca="false">IF($B193="","",OR(ISNUMBER(SEARCH("repair",$G193)),ISNUMBER(SEARCH("not working",$G193))))</f>
        <v/>
      </c>
      <c r="S193" s="36" t="str">
        <f aca="false">IF(AND($B193&lt;&gt;"",$M193=TRUE(),$L193=FALSE(),$Q193=FALSE()),COUNTIFS($M$3:$M193,TRUE(),$L$3:$L193,FALSE(),$Q$3:$Q193,FALSE()),"")</f>
        <v/>
      </c>
      <c r="T193" s="36" t="str">
        <f aca="false">IF($B193="","",IF($Q193=TRUE(),"U1",IF($L193=TRUE(),"S1",IF($M193=TRUE(),"D"&amp;MIN(4,INT(($S193-1)/DisplayCapacity)+1),IF($N193=TRUE(),"K1",IF($O193=TRUE(),"P1",IF($P193=TRUE(),"U1",IF($R193=TRUE(),"U1","W"))))))))</f>
        <v/>
      </c>
      <c r="U193" s="36" t="str">
        <f aca="false">IF($T193="","",$T193&amp;"-"&amp;COUNTIF($T$3:T193,$T193))</f>
        <v/>
      </c>
      <c r="V193" s="36" t="str">
        <f aca="false">IF($B193="","",_xlfn.TEXTJOIN(" | ",TRUE(),IF($Q193=TRUE(),"Empty box - no physical device, verify status",""),IF(AND($P193=TRUE(),$L193=FALSE(),$M193=FALSE(),$N193=FALSE(),$O193=FALSE(),$Q193=FALSE()),"Speaker fault only - needs manual box assignment",""),IF(AND($R193=TRUE(),$L193=FALSE(),$M193=FALSE(),$N193=FALSE(),$O193=FALSE(),$P193=FALSE(),$Q193=FALSE()),"No fault detail given - needs technician inspection",""),IF(AND(COUNTIF($F$3:$F$252,$F193)&gt;1,LOWER(TRIM($F193))&lt;&gt;"empty"),"Duplicate Serial No - verify device identity",""),IF((--$L193+--$M193+--$N193+--$O193+--$P193)&gt;1,"Multiple fault types detected - review full details before repair","")))</f>
        <v/>
      </c>
      <c r="W193" s="36"/>
      <c r="X193" s="36"/>
    </row>
    <row r="194" customFormat="false" ht="15" hidden="false" customHeight="true" outlineLevel="0" collapsed="false">
      <c r="A194" s="36" t="str">
        <f aca="false">IF($B194="","",192)</f>
        <v/>
      </c>
      <c r="B194" s="37"/>
      <c r="C194" s="36"/>
      <c r="D194" s="36" t="str">
        <f aca="false">IF($B194="","",IFERROR(VLOOKUP(TRIM($C194),ModelMap,2,FALSE()),TRIM($C194)))</f>
        <v/>
      </c>
      <c r="E194" s="36"/>
      <c r="F194" s="36"/>
      <c r="G194" s="36"/>
      <c r="H194" s="36"/>
      <c r="I194" s="36"/>
      <c r="J194" s="36"/>
      <c r="K194" s="36" t="str">
        <f aca="false">IF($B194="","",LOWER(TRIM($G194)&amp;" | "&amp;TRIM($H194)&amp;" | "&amp;TRIM($I194)))</f>
        <v/>
      </c>
      <c r="L194" s="36" t="str">
        <f aca="false">IF($B194="","",SUMPRODUCT(--ISNUMBER(SEARCH(SensorKW,$K194)))&gt;0)</f>
        <v/>
      </c>
      <c r="M194" s="36" t="str">
        <f aca="false">IF($B194="","",SUMPRODUCT(--ISNUMBER(SEARCH(DisplayKW,$K194)))&gt;0)</f>
        <v/>
      </c>
      <c r="N194" s="36" t="str">
        <f aca="false">IF($B194="","",SUMPRODUCT(--ISNUMBER(SEARCH(KeypadKW,$K194)))&gt;0)</f>
        <v/>
      </c>
      <c r="O194" s="36" t="str">
        <f aca="false">IF($B194="","",SUMPRODUCT(--ISNUMBER(SEARCH(PowerKW,$K194)))&gt;0)</f>
        <v/>
      </c>
      <c r="P194" s="36" t="str">
        <f aca="false">IF($B194="","",SUMPRODUCT(--ISNUMBER(SEARCH(SpeakerKW,$K194)))&gt;0)</f>
        <v/>
      </c>
      <c r="Q194" s="36" t="str">
        <f aca="false">IF($B194="","",OR(SUMPRODUCT(--ISNUMBER(SEARCH(EmptyKW,$K194)))&gt;0,LOWER(TRIM($F194))="empty"))</f>
        <v/>
      </c>
      <c r="R194" s="36" t="str">
        <f aca="false">IF($B194="","",OR(ISNUMBER(SEARCH("repair",$G194)),ISNUMBER(SEARCH("not working",$G194))))</f>
        <v/>
      </c>
      <c r="S194" s="36" t="str">
        <f aca="false">IF(AND($B194&lt;&gt;"",$M194=TRUE(),$L194=FALSE(),$Q194=FALSE()),COUNTIFS($M$3:$M194,TRUE(),$L$3:$L194,FALSE(),$Q$3:$Q194,FALSE()),"")</f>
        <v/>
      </c>
      <c r="T194" s="36" t="str">
        <f aca="false">IF($B194="","",IF($Q194=TRUE(),"U1",IF($L194=TRUE(),"S1",IF($M194=TRUE(),"D"&amp;MIN(4,INT(($S194-1)/DisplayCapacity)+1),IF($N194=TRUE(),"K1",IF($O194=TRUE(),"P1",IF($P194=TRUE(),"U1",IF($R194=TRUE(),"U1","W"))))))))</f>
        <v/>
      </c>
      <c r="U194" s="36" t="str">
        <f aca="false">IF($T194="","",$T194&amp;"-"&amp;COUNTIF($T$3:T194,$T194))</f>
        <v/>
      </c>
      <c r="V194" s="36" t="str">
        <f aca="false">IF($B194="","",_xlfn.TEXTJOIN(" | ",TRUE(),IF($Q194=TRUE(),"Empty box - no physical device, verify status",""),IF(AND($P194=TRUE(),$L194=FALSE(),$M194=FALSE(),$N194=FALSE(),$O194=FALSE(),$Q194=FALSE()),"Speaker fault only - needs manual box assignment",""),IF(AND($R194=TRUE(),$L194=FALSE(),$M194=FALSE(),$N194=FALSE(),$O194=FALSE(),$P194=FALSE(),$Q194=FALSE()),"No fault detail given - needs technician inspection",""),IF(AND(COUNTIF($F$3:$F$252,$F194)&gt;1,LOWER(TRIM($F194))&lt;&gt;"empty"),"Duplicate Serial No - verify device identity",""),IF((--$L194+--$M194+--$N194+--$O194+--$P194)&gt;1,"Multiple fault types detected - review full details before repair","")))</f>
        <v/>
      </c>
      <c r="W194" s="36"/>
      <c r="X194" s="36"/>
    </row>
    <row r="195" customFormat="false" ht="15" hidden="false" customHeight="true" outlineLevel="0" collapsed="false">
      <c r="A195" s="36" t="str">
        <f aca="false">IF($B195="","",193)</f>
        <v/>
      </c>
      <c r="B195" s="37"/>
      <c r="C195" s="36"/>
      <c r="D195" s="36" t="str">
        <f aca="false">IF($B195="","",IFERROR(VLOOKUP(TRIM($C195),ModelMap,2,FALSE()),TRIM($C195)))</f>
        <v/>
      </c>
      <c r="E195" s="36"/>
      <c r="F195" s="36"/>
      <c r="G195" s="36"/>
      <c r="H195" s="36"/>
      <c r="I195" s="36"/>
      <c r="J195" s="36"/>
      <c r="K195" s="36" t="str">
        <f aca="false">IF($B195="","",LOWER(TRIM($G195)&amp;" | "&amp;TRIM($H195)&amp;" | "&amp;TRIM($I195)))</f>
        <v/>
      </c>
      <c r="L195" s="36" t="str">
        <f aca="false">IF($B195="","",SUMPRODUCT(--ISNUMBER(SEARCH(SensorKW,$K195)))&gt;0)</f>
        <v/>
      </c>
      <c r="M195" s="36" t="str">
        <f aca="false">IF($B195="","",SUMPRODUCT(--ISNUMBER(SEARCH(DisplayKW,$K195)))&gt;0)</f>
        <v/>
      </c>
      <c r="N195" s="36" t="str">
        <f aca="false">IF($B195="","",SUMPRODUCT(--ISNUMBER(SEARCH(KeypadKW,$K195)))&gt;0)</f>
        <v/>
      </c>
      <c r="O195" s="36" t="str">
        <f aca="false">IF($B195="","",SUMPRODUCT(--ISNUMBER(SEARCH(PowerKW,$K195)))&gt;0)</f>
        <v/>
      </c>
      <c r="P195" s="36" t="str">
        <f aca="false">IF($B195="","",SUMPRODUCT(--ISNUMBER(SEARCH(SpeakerKW,$K195)))&gt;0)</f>
        <v/>
      </c>
      <c r="Q195" s="36" t="str">
        <f aca="false">IF($B195="","",OR(SUMPRODUCT(--ISNUMBER(SEARCH(EmptyKW,$K195)))&gt;0,LOWER(TRIM($F195))="empty"))</f>
        <v/>
      </c>
      <c r="R195" s="36" t="str">
        <f aca="false">IF($B195="","",OR(ISNUMBER(SEARCH("repair",$G195)),ISNUMBER(SEARCH("not working",$G195))))</f>
        <v/>
      </c>
      <c r="S195" s="36" t="str">
        <f aca="false">IF(AND($B195&lt;&gt;"",$M195=TRUE(),$L195=FALSE(),$Q195=FALSE()),COUNTIFS($M$3:$M195,TRUE(),$L$3:$L195,FALSE(),$Q$3:$Q195,FALSE()),"")</f>
        <v/>
      </c>
      <c r="T195" s="36" t="str">
        <f aca="false">IF($B195="","",IF($Q195=TRUE(),"U1",IF($L195=TRUE(),"S1",IF($M195=TRUE(),"D"&amp;MIN(4,INT(($S195-1)/DisplayCapacity)+1),IF($N195=TRUE(),"K1",IF($O195=TRUE(),"P1",IF($P195=TRUE(),"U1",IF($R195=TRUE(),"U1","W"))))))))</f>
        <v/>
      </c>
      <c r="U195" s="36" t="str">
        <f aca="false">IF($T195="","",$T195&amp;"-"&amp;COUNTIF($T$3:T195,$T195))</f>
        <v/>
      </c>
      <c r="V195" s="36" t="str">
        <f aca="false">IF($B195="","",_xlfn.TEXTJOIN(" | ",TRUE(),IF($Q195=TRUE(),"Empty box - no physical device, verify status",""),IF(AND($P195=TRUE(),$L195=FALSE(),$M195=FALSE(),$N195=FALSE(),$O195=FALSE(),$Q195=FALSE()),"Speaker fault only - needs manual box assignment",""),IF(AND($R195=TRUE(),$L195=FALSE(),$M195=FALSE(),$N195=FALSE(),$O195=FALSE(),$P195=FALSE(),$Q195=FALSE()),"No fault detail given - needs technician inspection",""),IF(AND(COUNTIF($F$3:$F$252,$F195)&gt;1,LOWER(TRIM($F195))&lt;&gt;"empty"),"Duplicate Serial No - verify device identity",""),IF((--$L195+--$M195+--$N195+--$O195+--$P195)&gt;1,"Multiple fault types detected - review full details before repair","")))</f>
        <v/>
      </c>
      <c r="W195" s="36"/>
      <c r="X195" s="36"/>
    </row>
    <row r="196" customFormat="false" ht="15" hidden="false" customHeight="true" outlineLevel="0" collapsed="false">
      <c r="A196" s="36" t="str">
        <f aca="false">IF($B196="","",194)</f>
        <v/>
      </c>
      <c r="B196" s="37"/>
      <c r="C196" s="36"/>
      <c r="D196" s="36" t="str">
        <f aca="false">IF($B196="","",IFERROR(VLOOKUP(TRIM($C196),ModelMap,2,FALSE()),TRIM($C196)))</f>
        <v/>
      </c>
      <c r="E196" s="36"/>
      <c r="F196" s="36"/>
      <c r="G196" s="36"/>
      <c r="H196" s="36"/>
      <c r="I196" s="36"/>
      <c r="J196" s="36"/>
      <c r="K196" s="36" t="str">
        <f aca="false">IF($B196="","",LOWER(TRIM($G196)&amp;" | "&amp;TRIM($H196)&amp;" | "&amp;TRIM($I196)))</f>
        <v/>
      </c>
      <c r="L196" s="36" t="str">
        <f aca="false">IF($B196="","",SUMPRODUCT(--ISNUMBER(SEARCH(SensorKW,$K196)))&gt;0)</f>
        <v/>
      </c>
      <c r="M196" s="36" t="str">
        <f aca="false">IF($B196="","",SUMPRODUCT(--ISNUMBER(SEARCH(DisplayKW,$K196)))&gt;0)</f>
        <v/>
      </c>
      <c r="N196" s="36" t="str">
        <f aca="false">IF($B196="","",SUMPRODUCT(--ISNUMBER(SEARCH(KeypadKW,$K196)))&gt;0)</f>
        <v/>
      </c>
      <c r="O196" s="36" t="str">
        <f aca="false">IF($B196="","",SUMPRODUCT(--ISNUMBER(SEARCH(PowerKW,$K196)))&gt;0)</f>
        <v/>
      </c>
      <c r="P196" s="36" t="str">
        <f aca="false">IF($B196="","",SUMPRODUCT(--ISNUMBER(SEARCH(SpeakerKW,$K196)))&gt;0)</f>
        <v/>
      </c>
      <c r="Q196" s="36" t="str">
        <f aca="false">IF($B196="","",OR(SUMPRODUCT(--ISNUMBER(SEARCH(EmptyKW,$K196)))&gt;0,LOWER(TRIM($F196))="empty"))</f>
        <v/>
      </c>
      <c r="R196" s="36" t="str">
        <f aca="false">IF($B196="","",OR(ISNUMBER(SEARCH("repair",$G196)),ISNUMBER(SEARCH("not working",$G196))))</f>
        <v/>
      </c>
      <c r="S196" s="36" t="str">
        <f aca="false">IF(AND($B196&lt;&gt;"",$M196=TRUE(),$L196=FALSE(),$Q196=FALSE()),COUNTIFS($M$3:$M196,TRUE(),$L$3:$L196,FALSE(),$Q$3:$Q196,FALSE()),"")</f>
        <v/>
      </c>
      <c r="T196" s="36" t="str">
        <f aca="false">IF($B196="","",IF($Q196=TRUE(),"U1",IF($L196=TRUE(),"S1",IF($M196=TRUE(),"D"&amp;MIN(4,INT(($S196-1)/DisplayCapacity)+1),IF($N196=TRUE(),"K1",IF($O196=TRUE(),"P1",IF($P196=TRUE(),"U1",IF($R196=TRUE(),"U1","W"))))))))</f>
        <v/>
      </c>
      <c r="U196" s="36" t="str">
        <f aca="false">IF($T196="","",$T196&amp;"-"&amp;COUNTIF($T$3:T196,$T196))</f>
        <v/>
      </c>
      <c r="V196" s="36" t="str">
        <f aca="false">IF($B196="","",_xlfn.TEXTJOIN(" | ",TRUE(),IF($Q196=TRUE(),"Empty box - no physical device, verify status",""),IF(AND($P196=TRUE(),$L196=FALSE(),$M196=FALSE(),$N196=FALSE(),$O196=FALSE(),$Q196=FALSE()),"Speaker fault only - needs manual box assignment",""),IF(AND($R196=TRUE(),$L196=FALSE(),$M196=FALSE(),$N196=FALSE(),$O196=FALSE(),$P196=FALSE(),$Q196=FALSE()),"No fault detail given - needs technician inspection",""),IF(AND(COUNTIF($F$3:$F$252,$F196)&gt;1,LOWER(TRIM($F196))&lt;&gt;"empty"),"Duplicate Serial No - verify device identity",""),IF((--$L196+--$M196+--$N196+--$O196+--$P196)&gt;1,"Multiple fault types detected - review full details before repair","")))</f>
        <v/>
      </c>
      <c r="W196" s="36"/>
      <c r="X196" s="36"/>
    </row>
    <row r="197" customFormat="false" ht="15" hidden="false" customHeight="true" outlineLevel="0" collapsed="false">
      <c r="A197" s="36" t="str">
        <f aca="false">IF($B197="","",195)</f>
        <v/>
      </c>
      <c r="B197" s="37"/>
      <c r="C197" s="36"/>
      <c r="D197" s="36" t="str">
        <f aca="false">IF($B197="","",IFERROR(VLOOKUP(TRIM($C197),ModelMap,2,FALSE()),TRIM($C197)))</f>
        <v/>
      </c>
      <c r="E197" s="36"/>
      <c r="F197" s="36"/>
      <c r="G197" s="36"/>
      <c r="H197" s="36"/>
      <c r="I197" s="36"/>
      <c r="J197" s="36"/>
      <c r="K197" s="36" t="str">
        <f aca="false">IF($B197="","",LOWER(TRIM($G197)&amp;" | "&amp;TRIM($H197)&amp;" | "&amp;TRIM($I197)))</f>
        <v/>
      </c>
      <c r="L197" s="36" t="str">
        <f aca="false">IF($B197="","",SUMPRODUCT(--ISNUMBER(SEARCH(SensorKW,$K197)))&gt;0)</f>
        <v/>
      </c>
      <c r="M197" s="36" t="str">
        <f aca="false">IF($B197="","",SUMPRODUCT(--ISNUMBER(SEARCH(DisplayKW,$K197)))&gt;0)</f>
        <v/>
      </c>
      <c r="N197" s="36" t="str">
        <f aca="false">IF($B197="","",SUMPRODUCT(--ISNUMBER(SEARCH(KeypadKW,$K197)))&gt;0)</f>
        <v/>
      </c>
      <c r="O197" s="36" t="str">
        <f aca="false">IF($B197="","",SUMPRODUCT(--ISNUMBER(SEARCH(PowerKW,$K197)))&gt;0)</f>
        <v/>
      </c>
      <c r="P197" s="36" t="str">
        <f aca="false">IF($B197="","",SUMPRODUCT(--ISNUMBER(SEARCH(SpeakerKW,$K197)))&gt;0)</f>
        <v/>
      </c>
      <c r="Q197" s="36" t="str">
        <f aca="false">IF($B197="","",OR(SUMPRODUCT(--ISNUMBER(SEARCH(EmptyKW,$K197)))&gt;0,LOWER(TRIM($F197))="empty"))</f>
        <v/>
      </c>
      <c r="R197" s="36" t="str">
        <f aca="false">IF($B197="","",OR(ISNUMBER(SEARCH("repair",$G197)),ISNUMBER(SEARCH("not working",$G197))))</f>
        <v/>
      </c>
      <c r="S197" s="36" t="str">
        <f aca="false">IF(AND($B197&lt;&gt;"",$M197=TRUE(),$L197=FALSE(),$Q197=FALSE()),COUNTIFS($M$3:$M197,TRUE(),$L$3:$L197,FALSE(),$Q$3:$Q197,FALSE()),"")</f>
        <v/>
      </c>
      <c r="T197" s="36" t="str">
        <f aca="false">IF($B197="","",IF($Q197=TRUE(),"U1",IF($L197=TRUE(),"S1",IF($M197=TRUE(),"D"&amp;MIN(4,INT(($S197-1)/DisplayCapacity)+1),IF($N197=TRUE(),"K1",IF($O197=TRUE(),"P1",IF($P197=TRUE(),"U1",IF($R197=TRUE(),"U1","W"))))))))</f>
        <v/>
      </c>
      <c r="U197" s="36" t="str">
        <f aca="false">IF($T197="","",$T197&amp;"-"&amp;COUNTIF($T$3:T197,$T197))</f>
        <v/>
      </c>
      <c r="V197" s="36" t="str">
        <f aca="false">IF($B197="","",_xlfn.TEXTJOIN(" | ",TRUE(),IF($Q197=TRUE(),"Empty box - no physical device, verify status",""),IF(AND($P197=TRUE(),$L197=FALSE(),$M197=FALSE(),$N197=FALSE(),$O197=FALSE(),$Q197=FALSE()),"Speaker fault only - needs manual box assignment",""),IF(AND($R197=TRUE(),$L197=FALSE(),$M197=FALSE(),$N197=FALSE(),$O197=FALSE(),$P197=FALSE(),$Q197=FALSE()),"No fault detail given - needs technician inspection",""),IF(AND(COUNTIF($F$3:$F$252,$F197)&gt;1,LOWER(TRIM($F197))&lt;&gt;"empty"),"Duplicate Serial No - verify device identity",""),IF((--$L197+--$M197+--$N197+--$O197+--$P197)&gt;1,"Multiple fault types detected - review full details before repair","")))</f>
        <v/>
      </c>
      <c r="W197" s="36"/>
      <c r="X197" s="36"/>
    </row>
    <row r="198" customFormat="false" ht="15" hidden="false" customHeight="true" outlineLevel="0" collapsed="false">
      <c r="A198" s="36" t="str">
        <f aca="false">IF($B198="","",196)</f>
        <v/>
      </c>
      <c r="B198" s="37"/>
      <c r="C198" s="36"/>
      <c r="D198" s="36" t="str">
        <f aca="false">IF($B198="","",IFERROR(VLOOKUP(TRIM($C198),ModelMap,2,FALSE()),TRIM($C198)))</f>
        <v/>
      </c>
      <c r="E198" s="36"/>
      <c r="F198" s="36"/>
      <c r="G198" s="36"/>
      <c r="H198" s="36"/>
      <c r="I198" s="36"/>
      <c r="J198" s="36"/>
      <c r="K198" s="36" t="str">
        <f aca="false">IF($B198="","",LOWER(TRIM($G198)&amp;" | "&amp;TRIM($H198)&amp;" | "&amp;TRIM($I198)))</f>
        <v/>
      </c>
      <c r="L198" s="36" t="str">
        <f aca="false">IF($B198="","",SUMPRODUCT(--ISNUMBER(SEARCH(SensorKW,$K198)))&gt;0)</f>
        <v/>
      </c>
      <c r="M198" s="36" t="str">
        <f aca="false">IF($B198="","",SUMPRODUCT(--ISNUMBER(SEARCH(DisplayKW,$K198)))&gt;0)</f>
        <v/>
      </c>
      <c r="N198" s="36" t="str">
        <f aca="false">IF($B198="","",SUMPRODUCT(--ISNUMBER(SEARCH(KeypadKW,$K198)))&gt;0)</f>
        <v/>
      </c>
      <c r="O198" s="36" t="str">
        <f aca="false">IF($B198="","",SUMPRODUCT(--ISNUMBER(SEARCH(PowerKW,$K198)))&gt;0)</f>
        <v/>
      </c>
      <c r="P198" s="36" t="str">
        <f aca="false">IF($B198="","",SUMPRODUCT(--ISNUMBER(SEARCH(SpeakerKW,$K198)))&gt;0)</f>
        <v/>
      </c>
      <c r="Q198" s="36" t="str">
        <f aca="false">IF($B198="","",OR(SUMPRODUCT(--ISNUMBER(SEARCH(EmptyKW,$K198)))&gt;0,LOWER(TRIM($F198))="empty"))</f>
        <v/>
      </c>
      <c r="R198" s="36" t="str">
        <f aca="false">IF($B198="","",OR(ISNUMBER(SEARCH("repair",$G198)),ISNUMBER(SEARCH("not working",$G198))))</f>
        <v/>
      </c>
      <c r="S198" s="36" t="str">
        <f aca="false">IF(AND($B198&lt;&gt;"",$M198=TRUE(),$L198=FALSE(),$Q198=FALSE()),COUNTIFS($M$3:$M198,TRUE(),$L$3:$L198,FALSE(),$Q$3:$Q198,FALSE()),"")</f>
        <v/>
      </c>
      <c r="T198" s="36" t="str">
        <f aca="false">IF($B198="","",IF($Q198=TRUE(),"U1",IF($L198=TRUE(),"S1",IF($M198=TRUE(),"D"&amp;MIN(4,INT(($S198-1)/DisplayCapacity)+1),IF($N198=TRUE(),"K1",IF($O198=TRUE(),"P1",IF($P198=TRUE(),"U1",IF($R198=TRUE(),"U1","W"))))))))</f>
        <v/>
      </c>
      <c r="U198" s="36" t="str">
        <f aca="false">IF($T198="","",$T198&amp;"-"&amp;COUNTIF($T$3:T198,$T198))</f>
        <v/>
      </c>
      <c r="V198" s="36" t="str">
        <f aca="false">IF($B198="","",_xlfn.TEXTJOIN(" | ",TRUE(),IF($Q198=TRUE(),"Empty box - no physical device, verify status",""),IF(AND($P198=TRUE(),$L198=FALSE(),$M198=FALSE(),$N198=FALSE(),$O198=FALSE(),$Q198=FALSE()),"Speaker fault only - needs manual box assignment",""),IF(AND($R198=TRUE(),$L198=FALSE(),$M198=FALSE(),$N198=FALSE(),$O198=FALSE(),$P198=FALSE(),$Q198=FALSE()),"No fault detail given - needs technician inspection",""),IF(AND(COUNTIF($F$3:$F$252,$F198)&gt;1,LOWER(TRIM($F198))&lt;&gt;"empty"),"Duplicate Serial No - verify device identity",""),IF((--$L198+--$M198+--$N198+--$O198+--$P198)&gt;1,"Multiple fault types detected - review full details before repair","")))</f>
        <v/>
      </c>
      <c r="W198" s="36"/>
      <c r="X198" s="36"/>
    </row>
    <row r="199" customFormat="false" ht="15" hidden="false" customHeight="true" outlineLevel="0" collapsed="false">
      <c r="A199" s="36" t="str">
        <f aca="false">IF($B199="","",197)</f>
        <v/>
      </c>
      <c r="B199" s="37"/>
      <c r="C199" s="36"/>
      <c r="D199" s="36" t="str">
        <f aca="false">IF($B199="","",IFERROR(VLOOKUP(TRIM($C199),ModelMap,2,FALSE()),TRIM($C199)))</f>
        <v/>
      </c>
      <c r="E199" s="36"/>
      <c r="F199" s="36"/>
      <c r="G199" s="36"/>
      <c r="H199" s="36"/>
      <c r="I199" s="36"/>
      <c r="J199" s="36"/>
      <c r="K199" s="36" t="str">
        <f aca="false">IF($B199="","",LOWER(TRIM($G199)&amp;" | "&amp;TRIM($H199)&amp;" | "&amp;TRIM($I199)))</f>
        <v/>
      </c>
      <c r="L199" s="36" t="str">
        <f aca="false">IF($B199="","",SUMPRODUCT(--ISNUMBER(SEARCH(SensorKW,$K199)))&gt;0)</f>
        <v/>
      </c>
      <c r="M199" s="36" t="str">
        <f aca="false">IF($B199="","",SUMPRODUCT(--ISNUMBER(SEARCH(DisplayKW,$K199)))&gt;0)</f>
        <v/>
      </c>
      <c r="N199" s="36" t="str">
        <f aca="false">IF($B199="","",SUMPRODUCT(--ISNUMBER(SEARCH(KeypadKW,$K199)))&gt;0)</f>
        <v/>
      </c>
      <c r="O199" s="36" t="str">
        <f aca="false">IF($B199="","",SUMPRODUCT(--ISNUMBER(SEARCH(PowerKW,$K199)))&gt;0)</f>
        <v/>
      </c>
      <c r="P199" s="36" t="str">
        <f aca="false">IF($B199="","",SUMPRODUCT(--ISNUMBER(SEARCH(SpeakerKW,$K199)))&gt;0)</f>
        <v/>
      </c>
      <c r="Q199" s="36" t="str">
        <f aca="false">IF($B199="","",OR(SUMPRODUCT(--ISNUMBER(SEARCH(EmptyKW,$K199)))&gt;0,LOWER(TRIM($F199))="empty"))</f>
        <v/>
      </c>
      <c r="R199" s="36" t="str">
        <f aca="false">IF($B199="","",OR(ISNUMBER(SEARCH("repair",$G199)),ISNUMBER(SEARCH("not working",$G199))))</f>
        <v/>
      </c>
      <c r="S199" s="36" t="str">
        <f aca="false">IF(AND($B199&lt;&gt;"",$M199=TRUE(),$L199=FALSE(),$Q199=FALSE()),COUNTIFS($M$3:$M199,TRUE(),$L$3:$L199,FALSE(),$Q$3:$Q199,FALSE()),"")</f>
        <v/>
      </c>
      <c r="T199" s="36" t="str">
        <f aca="false">IF($B199="","",IF($Q199=TRUE(),"U1",IF($L199=TRUE(),"S1",IF($M199=TRUE(),"D"&amp;MIN(4,INT(($S199-1)/DisplayCapacity)+1),IF($N199=TRUE(),"K1",IF($O199=TRUE(),"P1",IF($P199=TRUE(),"U1",IF($R199=TRUE(),"U1","W"))))))))</f>
        <v/>
      </c>
      <c r="U199" s="36" t="str">
        <f aca="false">IF($T199="","",$T199&amp;"-"&amp;COUNTIF($T$3:T199,$T199))</f>
        <v/>
      </c>
      <c r="V199" s="36" t="str">
        <f aca="false">IF($B199="","",_xlfn.TEXTJOIN(" | ",TRUE(),IF($Q199=TRUE(),"Empty box - no physical device, verify status",""),IF(AND($P199=TRUE(),$L199=FALSE(),$M199=FALSE(),$N199=FALSE(),$O199=FALSE(),$Q199=FALSE()),"Speaker fault only - needs manual box assignment",""),IF(AND($R199=TRUE(),$L199=FALSE(),$M199=FALSE(),$N199=FALSE(),$O199=FALSE(),$P199=FALSE(),$Q199=FALSE()),"No fault detail given - needs technician inspection",""),IF(AND(COUNTIF($F$3:$F$252,$F199)&gt;1,LOWER(TRIM($F199))&lt;&gt;"empty"),"Duplicate Serial No - verify device identity",""),IF((--$L199+--$M199+--$N199+--$O199+--$P199)&gt;1,"Multiple fault types detected - review full details before repair","")))</f>
        <v/>
      </c>
      <c r="W199" s="36"/>
      <c r="X199" s="36"/>
    </row>
    <row r="200" customFormat="false" ht="15" hidden="false" customHeight="true" outlineLevel="0" collapsed="false">
      <c r="A200" s="36" t="str">
        <f aca="false">IF($B200="","",198)</f>
        <v/>
      </c>
      <c r="B200" s="37"/>
      <c r="C200" s="36"/>
      <c r="D200" s="36" t="str">
        <f aca="false">IF($B200="","",IFERROR(VLOOKUP(TRIM($C200),ModelMap,2,FALSE()),TRIM($C200)))</f>
        <v/>
      </c>
      <c r="E200" s="36"/>
      <c r="F200" s="36"/>
      <c r="G200" s="36"/>
      <c r="H200" s="36"/>
      <c r="I200" s="36"/>
      <c r="J200" s="36"/>
      <c r="K200" s="36" t="str">
        <f aca="false">IF($B200="","",LOWER(TRIM($G200)&amp;" | "&amp;TRIM($H200)&amp;" | "&amp;TRIM($I200)))</f>
        <v/>
      </c>
      <c r="L200" s="36" t="str">
        <f aca="false">IF($B200="","",SUMPRODUCT(--ISNUMBER(SEARCH(SensorKW,$K200)))&gt;0)</f>
        <v/>
      </c>
      <c r="M200" s="36" t="str">
        <f aca="false">IF($B200="","",SUMPRODUCT(--ISNUMBER(SEARCH(DisplayKW,$K200)))&gt;0)</f>
        <v/>
      </c>
      <c r="N200" s="36" t="str">
        <f aca="false">IF($B200="","",SUMPRODUCT(--ISNUMBER(SEARCH(KeypadKW,$K200)))&gt;0)</f>
        <v/>
      </c>
      <c r="O200" s="36" t="str">
        <f aca="false">IF($B200="","",SUMPRODUCT(--ISNUMBER(SEARCH(PowerKW,$K200)))&gt;0)</f>
        <v/>
      </c>
      <c r="P200" s="36" t="str">
        <f aca="false">IF($B200="","",SUMPRODUCT(--ISNUMBER(SEARCH(SpeakerKW,$K200)))&gt;0)</f>
        <v/>
      </c>
      <c r="Q200" s="36" t="str">
        <f aca="false">IF($B200="","",OR(SUMPRODUCT(--ISNUMBER(SEARCH(EmptyKW,$K200)))&gt;0,LOWER(TRIM($F200))="empty"))</f>
        <v/>
      </c>
      <c r="R200" s="36" t="str">
        <f aca="false">IF($B200="","",OR(ISNUMBER(SEARCH("repair",$G200)),ISNUMBER(SEARCH("not working",$G200))))</f>
        <v/>
      </c>
      <c r="S200" s="36" t="str">
        <f aca="false">IF(AND($B200&lt;&gt;"",$M200=TRUE(),$L200=FALSE(),$Q200=FALSE()),COUNTIFS($M$3:$M200,TRUE(),$L$3:$L200,FALSE(),$Q$3:$Q200,FALSE()),"")</f>
        <v/>
      </c>
      <c r="T200" s="36" t="str">
        <f aca="false">IF($B200="","",IF($Q200=TRUE(),"U1",IF($L200=TRUE(),"S1",IF($M200=TRUE(),"D"&amp;MIN(4,INT(($S200-1)/DisplayCapacity)+1),IF($N200=TRUE(),"K1",IF($O200=TRUE(),"P1",IF($P200=TRUE(),"U1",IF($R200=TRUE(),"U1","W"))))))))</f>
        <v/>
      </c>
      <c r="U200" s="36" t="str">
        <f aca="false">IF($T200="","",$T200&amp;"-"&amp;COUNTIF($T$3:T200,$T200))</f>
        <v/>
      </c>
      <c r="V200" s="36" t="str">
        <f aca="false">IF($B200="","",_xlfn.TEXTJOIN(" | ",TRUE(),IF($Q200=TRUE(),"Empty box - no physical device, verify status",""),IF(AND($P200=TRUE(),$L200=FALSE(),$M200=FALSE(),$N200=FALSE(),$O200=FALSE(),$Q200=FALSE()),"Speaker fault only - needs manual box assignment",""),IF(AND($R200=TRUE(),$L200=FALSE(),$M200=FALSE(),$N200=FALSE(),$O200=FALSE(),$P200=FALSE(),$Q200=FALSE()),"No fault detail given - needs technician inspection",""),IF(AND(COUNTIF($F$3:$F$252,$F200)&gt;1,LOWER(TRIM($F200))&lt;&gt;"empty"),"Duplicate Serial No - verify device identity",""),IF((--$L200+--$M200+--$N200+--$O200+--$P200)&gt;1,"Multiple fault types detected - review full details before repair","")))</f>
        <v/>
      </c>
      <c r="W200" s="36"/>
      <c r="X200" s="36"/>
    </row>
    <row r="201" customFormat="false" ht="15" hidden="false" customHeight="true" outlineLevel="0" collapsed="false">
      <c r="A201" s="36" t="str">
        <f aca="false">IF($B201="","",199)</f>
        <v/>
      </c>
      <c r="B201" s="37"/>
      <c r="C201" s="36"/>
      <c r="D201" s="36" t="str">
        <f aca="false">IF($B201="","",IFERROR(VLOOKUP(TRIM($C201),ModelMap,2,FALSE()),TRIM($C201)))</f>
        <v/>
      </c>
      <c r="E201" s="36"/>
      <c r="F201" s="36"/>
      <c r="G201" s="36"/>
      <c r="H201" s="36"/>
      <c r="I201" s="36"/>
      <c r="J201" s="36"/>
      <c r="K201" s="36" t="str">
        <f aca="false">IF($B201="","",LOWER(TRIM($G201)&amp;" | "&amp;TRIM($H201)&amp;" | "&amp;TRIM($I201)))</f>
        <v/>
      </c>
      <c r="L201" s="36" t="str">
        <f aca="false">IF($B201="","",SUMPRODUCT(--ISNUMBER(SEARCH(SensorKW,$K201)))&gt;0)</f>
        <v/>
      </c>
      <c r="M201" s="36" t="str">
        <f aca="false">IF($B201="","",SUMPRODUCT(--ISNUMBER(SEARCH(DisplayKW,$K201)))&gt;0)</f>
        <v/>
      </c>
      <c r="N201" s="36" t="str">
        <f aca="false">IF($B201="","",SUMPRODUCT(--ISNUMBER(SEARCH(KeypadKW,$K201)))&gt;0)</f>
        <v/>
      </c>
      <c r="O201" s="36" t="str">
        <f aca="false">IF($B201="","",SUMPRODUCT(--ISNUMBER(SEARCH(PowerKW,$K201)))&gt;0)</f>
        <v/>
      </c>
      <c r="P201" s="36" t="str">
        <f aca="false">IF($B201="","",SUMPRODUCT(--ISNUMBER(SEARCH(SpeakerKW,$K201)))&gt;0)</f>
        <v/>
      </c>
      <c r="Q201" s="36" t="str">
        <f aca="false">IF($B201="","",OR(SUMPRODUCT(--ISNUMBER(SEARCH(EmptyKW,$K201)))&gt;0,LOWER(TRIM($F201))="empty"))</f>
        <v/>
      </c>
      <c r="R201" s="36" t="str">
        <f aca="false">IF($B201="","",OR(ISNUMBER(SEARCH("repair",$G201)),ISNUMBER(SEARCH("not working",$G201))))</f>
        <v/>
      </c>
      <c r="S201" s="36" t="str">
        <f aca="false">IF(AND($B201&lt;&gt;"",$M201=TRUE(),$L201=FALSE(),$Q201=FALSE()),COUNTIFS($M$3:$M201,TRUE(),$L$3:$L201,FALSE(),$Q$3:$Q201,FALSE()),"")</f>
        <v/>
      </c>
      <c r="T201" s="36" t="str">
        <f aca="false">IF($B201="","",IF($Q201=TRUE(),"U1",IF($L201=TRUE(),"S1",IF($M201=TRUE(),"D"&amp;MIN(4,INT(($S201-1)/DisplayCapacity)+1),IF($N201=TRUE(),"K1",IF($O201=TRUE(),"P1",IF($P201=TRUE(),"U1",IF($R201=TRUE(),"U1","W"))))))))</f>
        <v/>
      </c>
      <c r="U201" s="36" t="str">
        <f aca="false">IF($T201="","",$T201&amp;"-"&amp;COUNTIF($T$3:T201,$T201))</f>
        <v/>
      </c>
      <c r="V201" s="36" t="str">
        <f aca="false">IF($B201="","",_xlfn.TEXTJOIN(" | ",TRUE(),IF($Q201=TRUE(),"Empty box - no physical device, verify status",""),IF(AND($P201=TRUE(),$L201=FALSE(),$M201=FALSE(),$N201=FALSE(),$O201=FALSE(),$Q201=FALSE()),"Speaker fault only - needs manual box assignment",""),IF(AND($R201=TRUE(),$L201=FALSE(),$M201=FALSE(),$N201=FALSE(),$O201=FALSE(),$P201=FALSE(),$Q201=FALSE()),"No fault detail given - needs technician inspection",""),IF(AND(COUNTIF($F$3:$F$252,$F201)&gt;1,LOWER(TRIM($F201))&lt;&gt;"empty"),"Duplicate Serial No - verify device identity",""),IF((--$L201+--$M201+--$N201+--$O201+--$P201)&gt;1,"Multiple fault types detected - review full details before repair","")))</f>
        <v/>
      </c>
      <c r="W201" s="36"/>
      <c r="X201" s="36"/>
    </row>
    <row r="202" customFormat="false" ht="15" hidden="false" customHeight="true" outlineLevel="0" collapsed="false">
      <c r="A202" s="36" t="str">
        <f aca="false">IF($B202="","",200)</f>
        <v/>
      </c>
      <c r="B202" s="37"/>
      <c r="C202" s="36"/>
      <c r="D202" s="36" t="str">
        <f aca="false">IF($B202="","",IFERROR(VLOOKUP(TRIM($C202),ModelMap,2,FALSE()),TRIM($C202)))</f>
        <v/>
      </c>
      <c r="E202" s="36"/>
      <c r="F202" s="36"/>
      <c r="G202" s="36"/>
      <c r="H202" s="36"/>
      <c r="I202" s="36"/>
      <c r="J202" s="36"/>
      <c r="K202" s="36" t="str">
        <f aca="false">IF($B202="","",LOWER(TRIM($G202)&amp;" | "&amp;TRIM($H202)&amp;" | "&amp;TRIM($I202)))</f>
        <v/>
      </c>
      <c r="L202" s="36" t="str">
        <f aca="false">IF($B202="","",SUMPRODUCT(--ISNUMBER(SEARCH(SensorKW,$K202)))&gt;0)</f>
        <v/>
      </c>
      <c r="M202" s="36" t="str">
        <f aca="false">IF($B202="","",SUMPRODUCT(--ISNUMBER(SEARCH(DisplayKW,$K202)))&gt;0)</f>
        <v/>
      </c>
      <c r="N202" s="36" t="str">
        <f aca="false">IF($B202="","",SUMPRODUCT(--ISNUMBER(SEARCH(KeypadKW,$K202)))&gt;0)</f>
        <v/>
      </c>
      <c r="O202" s="36" t="str">
        <f aca="false">IF($B202="","",SUMPRODUCT(--ISNUMBER(SEARCH(PowerKW,$K202)))&gt;0)</f>
        <v/>
      </c>
      <c r="P202" s="36" t="str">
        <f aca="false">IF($B202="","",SUMPRODUCT(--ISNUMBER(SEARCH(SpeakerKW,$K202)))&gt;0)</f>
        <v/>
      </c>
      <c r="Q202" s="36" t="str">
        <f aca="false">IF($B202="","",OR(SUMPRODUCT(--ISNUMBER(SEARCH(EmptyKW,$K202)))&gt;0,LOWER(TRIM($F202))="empty"))</f>
        <v/>
      </c>
      <c r="R202" s="36" t="str">
        <f aca="false">IF($B202="","",OR(ISNUMBER(SEARCH("repair",$G202)),ISNUMBER(SEARCH("not working",$G202))))</f>
        <v/>
      </c>
      <c r="S202" s="36" t="str">
        <f aca="false">IF(AND($B202&lt;&gt;"",$M202=TRUE(),$L202=FALSE(),$Q202=FALSE()),COUNTIFS($M$3:$M202,TRUE(),$L$3:$L202,FALSE(),$Q$3:$Q202,FALSE()),"")</f>
        <v/>
      </c>
      <c r="T202" s="36" t="str">
        <f aca="false">IF($B202="","",IF($Q202=TRUE(),"U1",IF($L202=TRUE(),"S1",IF($M202=TRUE(),"D"&amp;MIN(4,INT(($S202-1)/DisplayCapacity)+1),IF($N202=TRUE(),"K1",IF($O202=TRUE(),"P1",IF($P202=TRUE(),"U1",IF($R202=TRUE(),"U1","W"))))))))</f>
        <v/>
      </c>
      <c r="U202" s="36" t="str">
        <f aca="false">IF($T202="","",$T202&amp;"-"&amp;COUNTIF($T$3:T202,$T202))</f>
        <v/>
      </c>
      <c r="V202" s="36" t="str">
        <f aca="false">IF($B202="","",_xlfn.TEXTJOIN(" | ",TRUE(),IF($Q202=TRUE(),"Empty box - no physical device, verify status",""),IF(AND($P202=TRUE(),$L202=FALSE(),$M202=FALSE(),$N202=FALSE(),$O202=FALSE(),$Q202=FALSE()),"Speaker fault only - needs manual box assignment",""),IF(AND($R202=TRUE(),$L202=FALSE(),$M202=FALSE(),$N202=FALSE(),$O202=FALSE(),$P202=FALSE(),$Q202=FALSE()),"No fault detail given - needs technician inspection",""),IF(AND(COUNTIF($F$3:$F$252,$F202)&gt;1,LOWER(TRIM($F202))&lt;&gt;"empty"),"Duplicate Serial No - verify device identity",""),IF((--$L202+--$M202+--$N202+--$O202+--$P202)&gt;1,"Multiple fault types detected - review full details before repair","")))</f>
        <v/>
      </c>
      <c r="W202" s="36"/>
      <c r="X202" s="36"/>
    </row>
    <row r="203" customFormat="false" ht="15" hidden="false" customHeight="true" outlineLevel="0" collapsed="false">
      <c r="A203" s="36" t="str">
        <f aca="false">IF($B203="","",201)</f>
        <v/>
      </c>
      <c r="B203" s="37"/>
      <c r="C203" s="36"/>
      <c r="D203" s="36" t="str">
        <f aca="false">IF($B203="","",IFERROR(VLOOKUP(TRIM($C203),ModelMap,2,FALSE()),TRIM($C203)))</f>
        <v/>
      </c>
      <c r="E203" s="36"/>
      <c r="F203" s="36"/>
      <c r="G203" s="36"/>
      <c r="H203" s="36"/>
      <c r="I203" s="36"/>
      <c r="J203" s="36"/>
      <c r="K203" s="36" t="str">
        <f aca="false">IF($B203="","",LOWER(TRIM($G203)&amp;" | "&amp;TRIM($H203)&amp;" | "&amp;TRIM($I203)))</f>
        <v/>
      </c>
      <c r="L203" s="36" t="str">
        <f aca="false">IF($B203="","",SUMPRODUCT(--ISNUMBER(SEARCH(SensorKW,$K203)))&gt;0)</f>
        <v/>
      </c>
      <c r="M203" s="36" t="str">
        <f aca="false">IF($B203="","",SUMPRODUCT(--ISNUMBER(SEARCH(DisplayKW,$K203)))&gt;0)</f>
        <v/>
      </c>
      <c r="N203" s="36" t="str">
        <f aca="false">IF($B203="","",SUMPRODUCT(--ISNUMBER(SEARCH(KeypadKW,$K203)))&gt;0)</f>
        <v/>
      </c>
      <c r="O203" s="36" t="str">
        <f aca="false">IF($B203="","",SUMPRODUCT(--ISNUMBER(SEARCH(PowerKW,$K203)))&gt;0)</f>
        <v/>
      </c>
      <c r="P203" s="36" t="str">
        <f aca="false">IF($B203="","",SUMPRODUCT(--ISNUMBER(SEARCH(SpeakerKW,$K203)))&gt;0)</f>
        <v/>
      </c>
      <c r="Q203" s="36" t="str">
        <f aca="false">IF($B203="","",OR(SUMPRODUCT(--ISNUMBER(SEARCH(EmptyKW,$K203)))&gt;0,LOWER(TRIM($F203))="empty"))</f>
        <v/>
      </c>
      <c r="R203" s="36" t="str">
        <f aca="false">IF($B203="","",OR(ISNUMBER(SEARCH("repair",$G203)),ISNUMBER(SEARCH("not working",$G203))))</f>
        <v/>
      </c>
      <c r="S203" s="36" t="str">
        <f aca="false">IF(AND($B203&lt;&gt;"",$M203=TRUE(),$L203=FALSE(),$Q203=FALSE()),COUNTIFS($M$3:$M203,TRUE(),$L$3:$L203,FALSE(),$Q$3:$Q203,FALSE()),"")</f>
        <v/>
      </c>
      <c r="T203" s="36" t="str">
        <f aca="false">IF($B203="","",IF($Q203=TRUE(),"U1",IF($L203=TRUE(),"S1",IF($M203=TRUE(),"D"&amp;MIN(4,INT(($S203-1)/DisplayCapacity)+1),IF($N203=TRUE(),"K1",IF($O203=TRUE(),"P1",IF($P203=TRUE(),"U1",IF($R203=TRUE(),"U1","W"))))))))</f>
        <v/>
      </c>
      <c r="U203" s="36" t="str">
        <f aca="false">IF($T203="","",$T203&amp;"-"&amp;COUNTIF($T$3:T203,$T203))</f>
        <v/>
      </c>
      <c r="V203" s="36" t="str">
        <f aca="false">IF($B203="","",_xlfn.TEXTJOIN(" | ",TRUE(),IF($Q203=TRUE(),"Empty box - no physical device, verify status",""),IF(AND($P203=TRUE(),$L203=FALSE(),$M203=FALSE(),$N203=FALSE(),$O203=FALSE(),$Q203=FALSE()),"Speaker fault only - needs manual box assignment",""),IF(AND($R203=TRUE(),$L203=FALSE(),$M203=FALSE(),$N203=FALSE(),$O203=FALSE(),$P203=FALSE(),$Q203=FALSE()),"No fault detail given - needs technician inspection",""),IF(AND(COUNTIF($F$3:$F$252,$F203)&gt;1,LOWER(TRIM($F203))&lt;&gt;"empty"),"Duplicate Serial No - verify device identity",""),IF((--$L203+--$M203+--$N203+--$O203+--$P203)&gt;1,"Multiple fault types detected - review full details before repair","")))</f>
        <v/>
      </c>
      <c r="W203" s="36"/>
      <c r="X203" s="36"/>
    </row>
    <row r="204" customFormat="false" ht="15" hidden="false" customHeight="true" outlineLevel="0" collapsed="false">
      <c r="A204" s="36" t="str">
        <f aca="false">IF($B204="","",202)</f>
        <v/>
      </c>
      <c r="B204" s="37"/>
      <c r="C204" s="36"/>
      <c r="D204" s="36" t="str">
        <f aca="false">IF($B204="","",IFERROR(VLOOKUP(TRIM($C204),ModelMap,2,FALSE()),TRIM($C204)))</f>
        <v/>
      </c>
      <c r="E204" s="36"/>
      <c r="F204" s="36"/>
      <c r="G204" s="36"/>
      <c r="H204" s="36"/>
      <c r="I204" s="36"/>
      <c r="J204" s="36"/>
      <c r="K204" s="36" t="str">
        <f aca="false">IF($B204="","",LOWER(TRIM($G204)&amp;" | "&amp;TRIM($H204)&amp;" | "&amp;TRIM($I204)))</f>
        <v/>
      </c>
      <c r="L204" s="36" t="str">
        <f aca="false">IF($B204="","",SUMPRODUCT(--ISNUMBER(SEARCH(SensorKW,$K204)))&gt;0)</f>
        <v/>
      </c>
      <c r="M204" s="36" t="str">
        <f aca="false">IF($B204="","",SUMPRODUCT(--ISNUMBER(SEARCH(DisplayKW,$K204)))&gt;0)</f>
        <v/>
      </c>
      <c r="N204" s="36" t="str">
        <f aca="false">IF($B204="","",SUMPRODUCT(--ISNUMBER(SEARCH(KeypadKW,$K204)))&gt;0)</f>
        <v/>
      </c>
      <c r="O204" s="36" t="str">
        <f aca="false">IF($B204="","",SUMPRODUCT(--ISNUMBER(SEARCH(PowerKW,$K204)))&gt;0)</f>
        <v/>
      </c>
      <c r="P204" s="36" t="str">
        <f aca="false">IF($B204="","",SUMPRODUCT(--ISNUMBER(SEARCH(SpeakerKW,$K204)))&gt;0)</f>
        <v/>
      </c>
      <c r="Q204" s="36" t="str">
        <f aca="false">IF($B204="","",OR(SUMPRODUCT(--ISNUMBER(SEARCH(EmptyKW,$K204)))&gt;0,LOWER(TRIM($F204))="empty"))</f>
        <v/>
      </c>
      <c r="R204" s="36" t="str">
        <f aca="false">IF($B204="","",OR(ISNUMBER(SEARCH("repair",$G204)),ISNUMBER(SEARCH("not working",$G204))))</f>
        <v/>
      </c>
      <c r="S204" s="36" t="str">
        <f aca="false">IF(AND($B204&lt;&gt;"",$M204=TRUE(),$L204=FALSE(),$Q204=FALSE()),COUNTIFS($M$3:$M204,TRUE(),$L$3:$L204,FALSE(),$Q$3:$Q204,FALSE()),"")</f>
        <v/>
      </c>
      <c r="T204" s="36" t="str">
        <f aca="false">IF($B204="","",IF($Q204=TRUE(),"U1",IF($L204=TRUE(),"S1",IF($M204=TRUE(),"D"&amp;MIN(4,INT(($S204-1)/DisplayCapacity)+1),IF($N204=TRUE(),"K1",IF($O204=TRUE(),"P1",IF($P204=TRUE(),"U1",IF($R204=TRUE(),"U1","W"))))))))</f>
        <v/>
      </c>
      <c r="U204" s="36" t="str">
        <f aca="false">IF($T204="","",$T204&amp;"-"&amp;COUNTIF($T$3:T204,$T204))</f>
        <v/>
      </c>
      <c r="V204" s="36" t="str">
        <f aca="false">IF($B204="","",_xlfn.TEXTJOIN(" | ",TRUE(),IF($Q204=TRUE(),"Empty box - no physical device, verify status",""),IF(AND($P204=TRUE(),$L204=FALSE(),$M204=FALSE(),$N204=FALSE(),$O204=FALSE(),$Q204=FALSE()),"Speaker fault only - needs manual box assignment",""),IF(AND($R204=TRUE(),$L204=FALSE(),$M204=FALSE(),$N204=FALSE(),$O204=FALSE(),$P204=FALSE(),$Q204=FALSE()),"No fault detail given - needs technician inspection",""),IF(AND(COUNTIF($F$3:$F$252,$F204)&gt;1,LOWER(TRIM($F204))&lt;&gt;"empty"),"Duplicate Serial No - verify device identity",""),IF((--$L204+--$M204+--$N204+--$O204+--$P204)&gt;1,"Multiple fault types detected - review full details before repair","")))</f>
        <v/>
      </c>
      <c r="W204" s="36"/>
      <c r="X204" s="36"/>
    </row>
    <row r="205" customFormat="false" ht="15" hidden="false" customHeight="true" outlineLevel="0" collapsed="false">
      <c r="A205" s="36" t="str">
        <f aca="false">IF($B205="","",203)</f>
        <v/>
      </c>
      <c r="B205" s="37"/>
      <c r="C205" s="36"/>
      <c r="D205" s="36" t="str">
        <f aca="false">IF($B205="","",IFERROR(VLOOKUP(TRIM($C205),ModelMap,2,FALSE()),TRIM($C205)))</f>
        <v/>
      </c>
      <c r="E205" s="36"/>
      <c r="F205" s="36"/>
      <c r="G205" s="36"/>
      <c r="H205" s="36"/>
      <c r="I205" s="36"/>
      <c r="J205" s="36"/>
      <c r="K205" s="36" t="str">
        <f aca="false">IF($B205="","",LOWER(TRIM($G205)&amp;" | "&amp;TRIM($H205)&amp;" | "&amp;TRIM($I205)))</f>
        <v/>
      </c>
      <c r="L205" s="36" t="str">
        <f aca="false">IF($B205="","",SUMPRODUCT(--ISNUMBER(SEARCH(SensorKW,$K205)))&gt;0)</f>
        <v/>
      </c>
      <c r="M205" s="36" t="str">
        <f aca="false">IF($B205="","",SUMPRODUCT(--ISNUMBER(SEARCH(DisplayKW,$K205)))&gt;0)</f>
        <v/>
      </c>
      <c r="N205" s="36" t="str">
        <f aca="false">IF($B205="","",SUMPRODUCT(--ISNUMBER(SEARCH(KeypadKW,$K205)))&gt;0)</f>
        <v/>
      </c>
      <c r="O205" s="36" t="str">
        <f aca="false">IF($B205="","",SUMPRODUCT(--ISNUMBER(SEARCH(PowerKW,$K205)))&gt;0)</f>
        <v/>
      </c>
      <c r="P205" s="36" t="str">
        <f aca="false">IF($B205="","",SUMPRODUCT(--ISNUMBER(SEARCH(SpeakerKW,$K205)))&gt;0)</f>
        <v/>
      </c>
      <c r="Q205" s="36" t="str">
        <f aca="false">IF($B205="","",OR(SUMPRODUCT(--ISNUMBER(SEARCH(EmptyKW,$K205)))&gt;0,LOWER(TRIM($F205))="empty"))</f>
        <v/>
      </c>
      <c r="R205" s="36" t="str">
        <f aca="false">IF($B205="","",OR(ISNUMBER(SEARCH("repair",$G205)),ISNUMBER(SEARCH("not working",$G205))))</f>
        <v/>
      </c>
      <c r="S205" s="36" t="str">
        <f aca="false">IF(AND($B205&lt;&gt;"",$M205=TRUE(),$L205=FALSE(),$Q205=FALSE()),COUNTIFS($M$3:$M205,TRUE(),$L$3:$L205,FALSE(),$Q$3:$Q205,FALSE()),"")</f>
        <v/>
      </c>
      <c r="T205" s="36" t="str">
        <f aca="false">IF($B205="","",IF($Q205=TRUE(),"U1",IF($L205=TRUE(),"S1",IF($M205=TRUE(),"D"&amp;MIN(4,INT(($S205-1)/DisplayCapacity)+1),IF($N205=TRUE(),"K1",IF($O205=TRUE(),"P1",IF($P205=TRUE(),"U1",IF($R205=TRUE(),"U1","W"))))))))</f>
        <v/>
      </c>
      <c r="U205" s="36" t="str">
        <f aca="false">IF($T205="","",$T205&amp;"-"&amp;COUNTIF($T$3:T205,$T205))</f>
        <v/>
      </c>
      <c r="V205" s="36" t="str">
        <f aca="false">IF($B205="","",_xlfn.TEXTJOIN(" | ",TRUE(),IF($Q205=TRUE(),"Empty box - no physical device, verify status",""),IF(AND($P205=TRUE(),$L205=FALSE(),$M205=FALSE(),$N205=FALSE(),$O205=FALSE(),$Q205=FALSE()),"Speaker fault only - needs manual box assignment",""),IF(AND($R205=TRUE(),$L205=FALSE(),$M205=FALSE(),$N205=FALSE(),$O205=FALSE(),$P205=FALSE(),$Q205=FALSE()),"No fault detail given - needs technician inspection",""),IF(AND(COUNTIF($F$3:$F$252,$F205)&gt;1,LOWER(TRIM($F205))&lt;&gt;"empty"),"Duplicate Serial No - verify device identity",""),IF((--$L205+--$M205+--$N205+--$O205+--$P205)&gt;1,"Multiple fault types detected - review full details before repair","")))</f>
        <v/>
      </c>
      <c r="W205" s="36"/>
      <c r="X205" s="36"/>
    </row>
    <row r="206" customFormat="false" ht="15" hidden="false" customHeight="true" outlineLevel="0" collapsed="false">
      <c r="A206" s="36" t="str">
        <f aca="false">IF($B206="","",204)</f>
        <v/>
      </c>
      <c r="B206" s="37"/>
      <c r="C206" s="36"/>
      <c r="D206" s="36" t="str">
        <f aca="false">IF($B206="","",IFERROR(VLOOKUP(TRIM($C206),ModelMap,2,FALSE()),TRIM($C206)))</f>
        <v/>
      </c>
      <c r="E206" s="36"/>
      <c r="F206" s="36"/>
      <c r="G206" s="36"/>
      <c r="H206" s="36"/>
      <c r="I206" s="36"/>
      <c r="J206" s="36"/>
      <c r="K206" s="36" t="str">
        <f aca="false">IF($B206="","",LOWER(TRIM($G206)&amp;" | "&amp;TRIM($H206)&amp;" | "&amp;TRIM($I206)))</f>
        <v/>
      </c>
      <c r="L206" s="36" t="str">
        <f aca="false">IF($B206="","",SUMPRODUCT(--ISNUMBER(SEARCH(SensorKW,$K206)))&gt;0)</f>
        <v/>
      </c>
      <c r="M206" s="36" t="str">
        <f aca="false">IF($B206="","",SUMPRODUCT(--ISNUMBER(SEARCH(DisplayKW,$K206)))&gt;0)</f>
        <v/>
      </c>
      <c r="N206" s="36" t="str">
        <f aca="false">IF($B206="","",SUMPRODUCT(--ISNUMBER(SEARCH(KeypadKW,$K206)))&gt;0)</f>
        <v/>
      </c>
      <c r="O206" s="36" t="str">
        <f aca="false">IF($B206="","",SUMPRODUCT(--ISNUMBER(SEARCH(PowerKW,$K206)))&gt;0)</f>
        <v/>
      </c>
      <c r="P206" s="36" t="str">
        <f aca="false">IF($B206="","",SUMPRODUCT(--ISNUMBER(SEARCH(SpeakerKW,$K206)))&gt;0)</f>
        <v/>
      </c>
      <c r="Q206" s="36" t="str">
        <f aca="false">IF($B206="","",OR(SUMPRODUCT(--ISNUMBER(SEARCH(EmptyKW,$K206)))&gt;0,LOWER(TRIM($F206))="empty"))</f>
        <v/>
      </c>
      <c r="R206" s="36" t="str">
        <f aca="false">IF($B206="","",OR(ISNUMBER(SEARCH("repair",$G206)),ISNUMBER(SEARCH("not working",$G206))))</f>
        <v/>
      </c>
      <c r="S206" s="36" t="str">
        <f aca="false">IF(AND($B206&lt;&gt;"",$M206=TRUE(),$L206=FALSE(),$Q206=FALSE()),COUNTIFS($M$3:$M206,TRUE(),$L$3:$L206,FALSE(),$Q$3:$Q206,FALSE()),"")</f>
        <v/>
      </c>
      <c r="T206" s="36" t="str">
        <f aca="false">IF($B206="","",IF($Q206=TRUE(),"U1",IF($L206=TRUE(),"S1",IF($M206=TRUE(),"D"&amp;MIN(4,INT(($S206-1)/DisplayCapacity)+1),IF($N206=TRUE(),"K1",IF($O206=TRUE(),"P1",IF($P206=TRUE(),"U1",IF($R206=TRUE(),"U1","W"))))))))</f>
        <v/>
      </c>
      <c r="U206" s="36" t="str">
        <f aca="false">IF($T206="","",$T206&amp;"-"&amp;COUNTIF($T$3:T206,$T206))</f>
        <v/>
      </c>
      <c r="V206" s="36" t="str">
        <f aca="false">IF($B206="","",_xlfn.TEXTJOIN(" | ",TRUE(),IF($Q206=TRUE(),"Empty box - no physical device, verify status",""),IF(AND($P206=TRUE(),$L206=FALSE(),$M206=FALSE(),$N206=FALSE(),$O206=FALSE(),$Q206=FALSE()),"Speaker fault only - needs manual box assignment",""),IF(AND($R206=TRUE(),$L206=FALSE(),$M206=FALSE(),$N206=FALSE(),$O206=FALSE(),$P206=FALSE(),$Q206=FALSE()),"No fault detail given - needs technician inspection",""),IF(AND(COUNTIF($F$3:$F$252,$F206)&gt;1,LOWER(TRIM($F206))&lt;&gt;"empty"),"Duplicate Serial No - verify device identity",""),IF((--$L206+--$M206+--$N206+--$O206+--$P206)&gt;1,"Multiple fault types detected - review full details before repair","")))</f>
        <v/>
      </c>
      <c r="W206" s="36"/>
      <c r="X206" s="36"/>
    </row>
    <row r="207" customFormat="false" ht="15" hidden="false" customHeight="true" outlineLevel="0" collapsed="false">
      <c r="A207" s="36" t="str">
        <f aca="false">IF($B207="","",205)</f>
        <v/>
      </c>
      <c r="B207" s="37"/>
      <c r="C207" s="36"/>
      <c r="D207" s="36" t="str">
        <f aca="false">IF($B207="","",IFERROR(VLOOKUP(TRIM($C207),ModelMap,2,FALSE()),TRIM($C207)))</f>
        <v/>
      </c>
      <c r="E207" s="36"/>
      <c r="F207" s="36"/>
      <c r="G207" s="36"/>
      <c r="H207" s="36"/>
      <c r="I207" s="36"/>
      <c r="J207" s="36"/>
      <c r="K207" s="36" t="str">
        <f aca="false">IF($B207="","",LOWER(TRIM($G207)&amp;" | "&amp;TRIM($H207)&amp;" | "&amp;TRIM($I207)))</f>
        <v/>
      </c>
      <c r="L207" s="36" t="str">
        <f aca="false">IF($B207="","",SUMPRODUCT(--ISNUMBER(SEARCH(SensorKW,$K207)))&gt;0)</f>
        <v/>
      </c>
      <c r="M207" s="36" t="str">
        <f aca="false">IF($B207="","",SUMPRODUCT(--ISNUMBER(SEARCH(DisplayKW,$K207)))&gt;0)</f>
        <v/>
      </c>
      <c r="N207" s="36" t="str">
        <f aca="false">IF($B207="","",SUMPRODUCT(--ISNUMBER(SEARCH(KeypadKW,$K207)))&gt;0)</f>
        <v/>
      </c>
      <c r="O207" s="36" t="str">
        <f aca="false">IF($B207="","",SUMPRODUCT(--ISNUMBER(SEARCH(PowerKW,$K207)))&gt;0)</f>
        <v/>
      </c>
      <c r="P207" s="36" t="str">
        <f aca="false">IF($B207="","",SUMPRODUCT(--ISNUMBER(SEARCH(SpeakerKW,$K207)))&gt;0)</f>
        <v/>
      </c>
      <c r="Q207" s="36" t="str">
        <f aca="false">IF($B207="","",OR(SUMPRODUCT(--ISNUMBER(SEARCH(EmptyKW,$K207)))&gt;0,LOWER(TRIM($F207))="empty"))</f>
        <v/>
      </c>
      <c r="R207" s="36" t="str">
        <f aca="false">IF($B207="","",OR(ISNUMBER(SEARCH("repair",$G207)),ISNUMBER(SEARCH("not working",$G207))))</f>
        <v/>
      </c>
      <c r="S207" s="36" t="str">
        <f aca="false">IF(AND($B207&lt;&gt;"",$M207=TRUE(),$L207=FALSE(),$Q207=FALSE()),COUNTIFS($M$3:$M207,TRUE(),$L$3:$L207,FALSE(),$Q$3:$Q207,FALSE()),"")</f>
        <v/>
      </c>
      <c r="T207" s="36" t="str">
        <f aca="false">IF($B207="","",IF($Q207=TRUE(),"U1",IF($L207=TRUE(),"S1",IF($M207=TRUE(),"D"&amp;MIN(4,INT(($S207-1)/DisplayCapacity)+1),IF($N207=TRUE(),"K1",IF($O207=TRUE(),"P1",IF($P207=TRUE(),"U1",IF($R207=TRUE(),"U1","W"))))))))</f>
        <v/>
      </c>
      <c r="U207" s="36" t="str">
        <f aca="false">IF($T207="","",$T207&amp;"-"&amp;COUNTIF($T$3:T207,$T207))</f>
        <v/>
      </c>
      <c r="V207" s="36" t="str">
        <f aca="false">IF($B207="","",_xlfn.TEXTJOIN(" | ",TRUE(),IF($Q207=TRUE(),"Empty box - no physical device, verify status",""),IF(AND($P207=TRUE(),$L207=FALSE(),$M207=FALSE(),$N207=FALSE(),$O207=FALSE(),$Q207=FALSE()),"Speaker fault only - needs manual box assignment",""),IF(AND($R207=TRUE(),$L207=FALSE(),$M207=FALSE(),$N207=FALSE(),$O207=FALSE(),$P207=FALSE(),$Q207=FALSE()),"No fault detail given - needs technician inspection",""),IF(AND(COUNTIF($F$3:$F$252,$F207)&gt;1,LOWER(TRIM($F207))&lt;&gt;"empty"),"Duplicate Serial No - verify device identity",""),IF((--$L207+--$M207+--$N207+--$O207+--$P207)&gt;1,"Multiple fault types detected - review full details before repair","")))</f>
        <v/>
      </c>
      <c r="W207" s="36"/>
      <c r="X207" s="36"/>
    </row>
    <row r="208" customFormat="false" ht="15" hidden="false" customHeight="true" outlineLevel="0" collapsed="false">
      <c r="A208" s="36" t="str">
        <f aca="false">IF($B208="","",206)</f>
        <v/>
      </c>
      <c r="B208" s="37"/>
      <c r="C208" s="36"/>
      <c r="D208" s="36" t="str">
        <f aca="false">IF($B208="","",IFERROR(VLOOKUP(TRIM($C208),ModelMap,2,FALSE()),TRIM($C208)))</f>
        <v/>
      </c>
      <c r="E208" s="36"/>
      <c r="F208" s="36"/>
      <c r="G208" s="36"/>
      <c r="H208" s="36"/>
      <c r="I208" s="36"/>
      <c r="J208" s="36"/>
      <c r="K208" s="36" t="str">
        <f aca="false">IF($B208="","",LOWER(TRIM($G208)&amp;" | "&amp;TRIM($H208)&amp;" | "&amp;TRIM($I208)))</f>
        <v/>
      </c>
      <c r="L208" s="36" t="str">
        <f aca="false">IF($B208="","",SUMPRODUCT(--ISNUMBER(SEARCH(SensorKW,$K208)))&gt;0)</f>
        <v/>
      </c>
      <c r="M208" s="36" t="str">
        <f aca="false">IF($B208="","",SUMPRODUCT(--ISNUMBER(SEARCH(DisplayKW,$K208)))&gt;0)</f>
        <v/>
      </c>
      <c r="N208" s="36" t="str">
        <f aca="false">IF($B208="","",SUMPRODUCT(--ISNUMBER(SEARCH(KeypadKW,$K208)))&gt;0)</f>
        <v/>
      </c>
      <c r="O208" s="36" t="str">
        <f aca="false">IF($B208="","",SUMPRODUCT(--ISNUMBER(SEARCH(PowerKW,$K208)))&gt;0)</f>
        <v/>
      </c>
      <c r="P208" s="36" t="str">
        <f aca="false">IF($B208="","",SUMPRODUCT(--ISNUMBER(SEARCH(SpeakerKW,$K208)))&gt;0)</f>
        <v/>
      </c>
      <c r="Q208" s="36" t="str">
        <f aca="false">IF($B208="","",OR(SUMPRODUCT(--ISNUMBER(SEARCH(EmptyKW,$K208)))&gt;0,LOWER(TRIM($F208))="empty"))</f>
        <v/>
      </c>
      <c r="R208" s="36" t="str">
        <f aca="false">IF($B208="","",OR(ISNUMBER(SEARCH("repair",$G208)),ISNUMBER(SEARCH("not working",$G208))))</f>
        <v/>
      </c>
      <c r="S208" s="36" t="str">
        <f aca="false">IF(AND($B208&lt;&gt;"",$M208=TRUE(),$L208=FALSE(),$Q208=FALSE()),COUNTIFS($M$3:$M208,TRUE(),$L$3:$L208,FALSE(),$Q$3:$Q208,FALSE()),"")</f>
        <v/>
      </c>
      <c r="T208" s="36" t="str">
        <f aca="false">IF($B208="","",IF($Q208=TRUE(),"U1",IF($L208=TRUE(),"S1",IF($M208=TRUE(),"D"&amp;MIN(4,INT(($S208-1)/DisplayCapacity)+1),IF($N208=TRUE(),"K1",IF($O208=TRUE(),"P1",IF($P208=TRUE(),"U1",IF($R208=TRUE(),"U1","W"))))))))</f>
        <v/>
      </c>
      <c r="U208" s="36" t="str">
        <f aca="false">IF($T208="","",$T208&amp;"-"&amp;COUNTIF($T$3:T208,$T208))</f>
        <v/>
      </c>
      <c r="V208" s="36" t="str">
        <f aca="false">IF($B208="","",_xlfn.TEXTJOIN(" | ",TRUE(),IF($Q208=TRUE(),"Empty box - no physical device, verify status",""),IF(AND($P208=TRUE(),$L208=FALSE(),$M208=FALSE(),$N208=FALSE(),$O208=FALSE(),$Q208=FALSE()),"Speaker fault only - needs manual box assignment",""),IF(AND($R208=TRUE(),$L208=FALSE(),$M208=FALSE(),$N208=FALSE(),$O208=FALSE(),$P208=FALSE(),$Q208=FALSE()),"No fault detail given - needs technician inspection",""),IF(AND(COUNTIF($F$3:$F$252,$F208)&gt;1,LOWER(TRIM($F208))&lt;&gt;"empty"),"Duplicate Serial No - verify device identity",""),IF((--$L208+--$M208+--$N208+--$O208+--$P208)&gt;1,"Multiple fault types detected - review full details before repair","")))</f>
        <v/>
      </c>
      <c r="W208" s="36"/>
      <c r="X208" s="36"/>
    </row>
    <row r="209" customFormat="false" ht="15" hidden="false" customHeight="true" outlineLevel="0" collapsed="false">
      <c r="A209" s="36" t="str">
        <f aca="false">IF($B209="","",207)</f>
        <v/>
      </c>
      <c r="B209" s="37"/>
      <c r="C209" s="36"/>
      <c r="D209" s="36" t="str">
        <f aca="false">IF($B209="","",IFERROR(VLOOKUP(TRIM($C209),ModelMap,2,FALSE()),TRIM($C209)))</f>
        <v/>
      </c>
      <c r="E209" s="36"/>
      <c r="F209" s="36"/>
      <c r="G209" s="36"/>
      <c r="H209" s="36"/>
      <c r="I209" s="36"/>
      <c r="J209" s="36"/>
      <c r="K209" s="36" t="str">
        <f aca="false">IF($B209="","",LOWER(TRIM($G209)&amp;" | "&amp;TRIM($H209)&amp;" | "&amp;TRIM($I209)))</f>
        <v/>
      </c>
      <c r="L209" s="36" t="str">
        <f aca="false">IF($B209="","",SUMPRODUCT(--ISNUMBER(SEARCH(SensorKW,$K209)))&gt;0)</f>
        <v/>
      </c>
      <c r="M209" s="36" t="str">
        <f aca="false">IF($B209="","",SUMPRODUCT(--ISNUMBER(SEARCH(DisplayKW,$K209)))&gt;0)</f>
        <v/>
      </c>
      <c r="N209" s="36" t="str">
        <f aca="false">IF($B209="","",SUMPRODUCT(--ISNUMBER(SEARCH(KeypadKW,$K209)))&gt;0)</f>
        <v/>
      </c>
      <c r="O209" s="36" t="str">
        <f aca="false">IF($B209="","",SUMPRODUCT(--ISNUMBER(SEARCH(PowerKW,$K209)))&gt;0)</f>
        <v/>
      </c>
      <c r="P209" s="36" t="str">
        <f aca="false">IF($B209="","",SUMPRODUCT(--ISNUMBER(SEARCH(SpeakerKW,$K209)))&gt;0)</f>
        <v/>
      </c>
      <c r="Q209" s="36" t="str">
        <f aca="false">IF($B209="","",OR(SUMPRODUCT(--ISNUMBER(SEARCH(EmptyKW,$K209)))&gt;0,LOWER(TRIM($F209))="empty"))</f>
        <v/>
      </c>
      <c r="R209" s="36" t="str">
        <f aca="false">IF($B209="","",OR(ISNUMBER(SEARCH("repair",$G209)),ISNUMBER(SEARCH("not working",$G209))))</f>
        <v/>
      </c>
      <c r="S209" s="36" t="str">
        <f aca="false">IF(AND($B209&lt;&gt;"",$M209=TRUE(),$L209=FALSE(),$Q209=FALSE()),COUNTIFS($M$3:$M209,TRUE(),$L$3:$L209,FALSE(),$Q$3:$Q209,FALSE()),"")</f>
        <v/>
      </c>
      <c r="T209" s="36" t="str">
        <f aca="false">IF($B209="","",IF($Q209=TRUE(),"U1",IF($L209=TRUE(),"S1",IF($M209=TRUE(),"D"&amp;MIN(4,INT(($S209-1)/DisplayCapacity)+1),IF($N209=TRUE(),"K1",IF($O209=TRUE(),"P1",IF($P209=TRUE(),"U1",IF($R209=TRUE(),"U1","W"))))))))</f>
        <v/>
      </c>
      <c r="U209" s="36" t="str">
        <f aca="false">IF($T209="","",$T209&amp;"-"&amp;COUNTIF($T$3:T209,$T209))</f>
        <v/>
      </c>
      <c r="V209" s="36" t="str">
        <f aca="false">IF($B209="","",_xlfn.TEXTJOIN(" | ",TRUE(),IF($Q209=TRUE(),"Empty box - no physical device, verify status",""),IF(AND($P209=TRUE(),$L209=FALSE(),$M209=FALSE(),$N209=FALSE(),$O209=FALSE(),$Q209=FALSE()),"Speaker fault only - needs manual box assignment",""),IF(AND($R209=TRUE(),$L209=FALSE(),$M209=FALSE(),$N209=FALSE(),$O209=FALSE(),$P209=FALSE(),$Q209=FALSE()),"No fault detail given - needs technician inspection",""),IF(AND(COUNTIF($F$3:$F$252,$F209)&gt;1,LOWER(TRIM($F209))&lt;&gt;"empty"),"Duplicate Serial No - verify device identity",""),IF((--$L209+--$M209+--$N209+--$O209+--$P209)&gt;1,"Multiple fault types detected - review full details before repair","")))</f>
        <v/>
      </c>
      <c r="W209" s="36"/>
      <c r="X209" s="36"/>
    </row>
    <row r="210" customFormat="false" ht="15" hidden="false" customHeight="true" outlineLevel="0" collapsed="false">
      <c r="A210" s="36" t="str">
        <f aca="false">IF($B210="","",208)</f>
        <v/>
      </c>
      <c r="B210" s="37"/>
      <c r="C210" s="36"/>
      <c r="D210" s="36" t="str">
        <f aca="false">IF($B210="","",IFERROR(VLOOKUP(TRIM($C210),ModelMap,2,FALSE()),TRIM($C210)))</f>
        <v/>
      </c>
      <c r="E210" s="36"/>
      <c r="F210" s="36"/>
      <c r="G210" s="36"/>
      <c r="H210" s="36"/>
      <c r="I210" s="36"/>
      <c r="J210" s="36"/>
      <c r="K210" s="36" t="str">
        <f aca="false">IF($B210="","",LOWER(TRIM($G210)&amp;" | "&amp;TRIM($H210)&amp;" | "&amp;TRIM($I210)))</f>
        <v/>
      </c>
      <c r="L210" s="36" t="str">
        <f aca="false">IF($B210="","",SUMPRODUCT(--ISNUMBER(SEARCH(SensorKW,$K210)))&gt;0)</f>
        <v/>
      </c>
      <c r="M210" s="36" t="str">
        <f aca="false">IF($B210="","",SUMPRODUCT(--ISNUMBER(SEARCH(DisplayKW,$K210)))&gt;0)</f>
        <v/>
      </c>
      <c r="N210" s="36" t="str">
        <f aca="false">IF($B210="","",SUMPRODUCT(--ISNUMBER(SEARCH(KeypadKW,$K210)))&gt;0)</f>
        <v/>
      </c>
      <c r="O210" s="36" t="str">
        <f aca="false">IF($B210="","",SUMPRODUCT(--ISNUMBER(SEARCH(PowerKW,$K210)))&gt;0)</f>
        <v/>
      </c>
      <c r="P210" s="36" t="str">
        <f aca="false">IF($B210="","",SUMPRODUCT(--ISNUMBER(SEARCH(SpeakerKW,$K210)))&gt;0)</f>
        <v/>
      </c>
      <c r="Q210" s="36" t="str">
        <f aca="false">IF($B210="","",OR(SUMPRODUCT(--ISNUMBER(SEARCH(EmptyKW,$K210)))&gt;0,LOWER(TRIM($F210))="empty"))</f>
        <v/>
      </c>
      <c r="R210" s="36" t="str">
        <f aca="false">IF($B210="","",OR(ISNUMBER(SEARCH("repair",$G210)),ISNUMBER(SEARCH("not working",$G210))))</f>
        <v/>
      </c>
      <c r="S210" s="36" t="str">
        <f aca="false">IF(AND($B210&lt;&gt;"",$M210=TRUE(),$L210=FALSE(),$Q210=FALSE()),COUNTIFS($M$3:$M210,TRUE(),$L$3:$L210,FALSE(),$Q$3:$Q210,FALSE()),"")</f>
        <v/>
      </c>
      <c r="T210" s="36" t="str">
        <f aca="false">IF($B210="","",IF($Q210=TRUE(),"U1",IF($L210=TRUE(),"S1",IF($M210=TRUE(),"D"&amp;MIN(4,INT(($S210-1)/DisplayCapacity)+1),IF($N210=TRUE(),"K1",IF($O210=TRUE(),"P1",IF($P210=TRUE(),"U1",IF($R210=TRUE(),"U1","W"))))))))</f>
        <v/>
      </c>
      <c r="U210" s="36" t="str">
        <f aca="false">IF($T210="","",$T210&amp;"-"&amp;COUNTIF($T$3:T210,$T210))</f>
        <v/>
      </c>
      <c r="V210" s="36" t="str">
        <f aca="false">IF($B210="","",_xlfn.TEXTJOIN(" | ",TRUE(),IF($Q210=TRUE(),"Empty box - no physical device, verify status",""),IF(AND($P210=TRUE(),$L210=FALSE(),$M210=FALSE(),$N210=FALSE(),$O210=FALSE(),$Q210=FALSE()),"Speaker fault only - needs manual box assignment",""),IF(AND($R210=TRUE(),$L210=FALSE(),$M210=FALSE(),$N210=FALSE(),$O210=FALSE(),$P210=FALSE(),$Q210=FALSE()),"No fault detail given - needs technician inspection",""),IF(AND(COUNTIF($F$3:$F$252,$F210)&gt;1,LOWER(TRIM($F210))&lt;&gt;"empty"),"Duplicate Serial No - verify device identity",""),IF((--$L210+--$M210+--$N210+--$O210+--$P210)&gt;1,"Multiple fault types detected - review full details before repair","")))</f>
        <v/>
      </c>
      <c r="W210" s="36"/>
      <c r="X210" s="36"/>
    </row>
    <row r="211" customFormat="false" ht="15" hidden="false" customHeight="true" outlineLevel="0" collapsed="false">
      <c r="A211" s="36" t="str">
        <f aca="false">IF($B211="","",209)</f>
        <v/>
      </c>
      <c r="B211" s="37"/>
      <c r="C211" s="36"/>
      <c r="D211" s="36" t="str">
        <f aca="false">IF($B211="","",IFERROR(VLOOKUP(TRIM($C211),ModelMap,2,FALSE()),TRIM($C211)))</f>
        <v/>
      </c>
      <c r="E211" s="36"/>
      <c r="F211" s="36"/>
      <c r="G211" s="36"/>
      <c r="H211" s="36"/>
      <c r="I211" s="36"/>
      <c r="J211" s="36"/>
      <c r="K211" s="36" t="str">
        <f aca="false">IF($B211="","",LOWER(TRIM($G211)&amp;" | "&amp;TRIM($H211)&amp;" | "&amp;TRIM($I211)))</f>
        <v/>
      </c>
      <c r="L211" s="36" t="str">
        <f aca="false">IF($B211="","",SUMPRODUCT(--ISNUMBER(SEARCH(SensorKW,$K211)))&gt;0)</f>
        <v/>
      </c>
      <c r="M211" s="36" t="str">
        <f aca="false">IF($B211="","",SUMPRODUCT(--ISNUMBER(SEARCH(DisplayKW,$K211)))&gt;0)</f>
        <v/>
      </c>
      <c r="N211" s="36" t="str">
        <f aca="false">IF($B211="","",SUMPRODUCT(--ISNUMBER(SEARCH(KeypadKW,$K211)))&gt;0)</f>
        <v/>
      </c>
      <c r="O211" s="36" t="str">
        <f aca="false">IF($B211="","",SUMPRODUCT(--ISNUMBER(SEARCH(PowerKW,$K211)))&gt;0)</f>
        <v/>
      </c>
      <c r="P211" s="36" t="str">
        <f aca="false">IF($B211="","",SUMPRODUCT(--ISNUMBER(SEARCH(SpeakerKW,$K211)))&gt;0)</f>
        <v/>
      </c>
      <c r="Q211" s="36" t="str">
        <f aca="false">IF($B211="","",OR(SUMPRODUCT(--ISNUMBER(SEARCH(EmptyKW,$K211)))&gt;0,LOWER(TRIM($F211))="empty"))</f>
        <v/>
      </c>
      <c r="R211" s="36" t="str">
        <f aca="false">IF($B211="","",OR(ISNUMBER(SEARCH("repair",$G211)),ISNUMBER(SEARCH("not working",$G211))))</f>
        <v/>
      </c>
      <c r="S211" s="36" t="str">
        <f aca="false">IF(AND($B211&lt;&gt;"",$M211=TRUE(),$L211=FALSE(),$Q211=FALSE()),COUNTIFS($M$3:$M211,TRUE(),$L$3:$L211,FALSE(),$Q$3:$Q211,FALSE()),"")</f>
        <v/>
      </c>
      <c r="T211" s="36" t="str">
        <f aca="false">IF($B211="","",IF($Q211=TRUE(),"U1",IF($L211=TRUE(),"S1",IF($M211=TRUE(),"D"&amp;MIN(4,INT(($S211-1)/DisplayCapacity)+1),IF($N211=TRUE(),"K1",IF($O211=TRUE(),"P1",IF($P211=TRUE(),"U1",IF($R211=TRUE(),"U1","W"))))))))</f>
        <v/>
      </c>
      <c r="U211" s="36" t="str">
        <f aca="false">IF($T211="","",$T211&amp;"-"&amp;COUNTIF($T$3:T211,$T211))</f>
        <v/>
      </c>
      <c r="V211" s="36" t="str">
        <f aca="false">IF($B211="","",_xlfn.TEXTJOIN(" | ",TRUE(),IF($Q211=TRUE(),"Empty box - no physical device, verify status",""),IF(AND($P211=TRUE(),$L211=FALSE(),$M211=FALSE(),$N211=FALSE(),$O211=FALSE(),$Q211=FALSE()),"Speaker fault only - needs manual box assignment",""),IF(AND($R211=TRUE(),$L211=FALSE(),$M211=FALSE(),$N211=FALSE(),$O211=FALSE(),$P211=FALSE(),$Q211=FALSE()),"No fault detail given - needs technician inspection",""),IF(AND(COUNTIF($F$3:$F$252,$F211)&gt;1,LOWER(TRIM($F211))&lt;&gt;"empty"),"Duplicate Serial No - verify device identity",""),IF((--$L211+--$M211+--$N211+--$O211+--$P211)&gt;1,"Multiple fault types detected - review full details before repair","")))</f>
        <v/>
      </c>
      <c r="W211" s="36"/>
      <c r="X211" s="36"/>
    </row>
    <row r="212" customFormat="false" ht="15" hidden="false" customHeight="true" outlineLevel="0" collapsed="false">
      <c r="A212" s="36" t="str">
        <f aca="false">IF($B212="","",210)</f>
        <v/>
      </c>
      <c r="B212" s="37"/>
      <c r="C212" s="36"/>
      <c r="D212" s="36" t="str">
        <f aca="false">IF($B212="","",IFERROR(VLOOKUP(TRIM($C212),ModelMap,2,FALSE()),TRIM($C212)))</f>
        <v/>
      </c>
      <c r="E212" s="36"/>
      <c r="F212" s="36"/>
      <c r="G212" s="36"/>
      <c r="H212" s="36"/>
      <c r="I212" s="36"/>
      <c r="J212" s="36"/>
      <c r="K212" s="36" t="str">
        <f aca="false">IF($B212="","",LOWER(TRIM($G212)&amp;" | "&amp;TRIM($H212)&amp;" | "&amp;TRIM($I212)))</f>
        <v/>
      </c>
      <c r="L212" s="36" t="str">
        <f aca="false">IF($B212="","",SUMPRODUCT(--ISNUMBER(SEARCH(SensorKW,$K212)))&gt;0)</f>
        <v/>
      </c>
      <c r="M212" s="36" t="str">
        <f aca="false">IF($B212="","",SUMPRODUCT(--ISNUMBER(SEARCH(DisplayKW,$K212)))&gt;0)</f>
        <v/>
      </c>
      <c r="N212" s="36" t="str">
        <f aca="false">IF($B212="","",SUMPRODUCT(--ISNUMBER(SEARCH(KeypadKW,$K212)))&gt;0)</f>
        <v/>
      </c>
      <c r="O212" s="36" t="str">
        <f aca="false">IF($B212="","",SUMPRODUCT(--ISNUMBER(SEARCH(PowerKW,$K212)))&gt;0)</f>
        <v/>
      </c>
      <c r="P212" s="36" t="str">
        <f aca="false">IF($B212="","",SUMPRODUCT(--ISNUMBER(SEARCH(SpeakerKW,$K212)))&gt;0)</f>
        <v/>
      </c>
      <c r="Q212" s="36" t="str">
        <f aca="false">IF($B212="","",OR(SUMPRODUCT(--ISNUMBER(SEARCH(EmptyKW,$K212)))&gt;0,LOWER(TRIM($F212))="empty"))</f>
        <v/>
      </c>
      <c r="R212" s="36" t="str">
        <f aca="false">IF($B212="","",OR(ISNUMBER(SEARCH("repair",$G212)),ISNUMBER(SEARCH("not working",$G212))))</f>
        <v/>
      </c>
      <c r="S212" s="36" t="str">
        <f aca="false">IF(AND($B212&lt;&gt;"",$M212=TRUE(),$L212=FALSE(),$Q212=FALSE()),COUNTIFS($M$3:$M212,TRUE(),$L$3:$L212,FALSE(),$Q$3:$Q212,FALSE()),"")</f>
        <v/>
      </c>
      <c r="T212" s="36" t="str">
        <f aca="false">IF($B212="","",IF($Q212=TRUE(),"U1",IF($L212=TRUE(),"S1",IF($M212=TRUE(),"D"&amp;MIN(4,INT(($S212-1)/DisplayCapacity)+1),IF($N212=TRUE(),"K1",IF($O212=TRUE(),"P1",IF($P212=TRUE(),"U1",IF($R212=TRUE(),"U1","W"))))))))</f>
        <v/>
      </c>
      <c r="U212" s="36" t="str">
        <f aca="false">IF($T212="","",$T212&amp;"-"&amp;COUNTIF($T$3:T212,$T212))</f>
        <v/>
      </c>
      <c r="V212" s="36" t="str">
        <f aca="false">IF($B212="","",_xlfn.TEXTJOIN(" | ",TRUE(),IF($Q212=TRUE(),"Empty box - no physical device, verify status",""),IF(AND($P212=TRUE(),$L212=FALSE(),$M212=FALSE(),$N212=FALSE(),$O212=FALSE(),$Q212=FALSE()),"Speaker fault only - needs manual box assignment",""),IF(AND($R212=TRUE(),$L212=FALSE(),$M212=FALSE(),$N212=FALSE(),$O212=FALSE(),$P212=FALSE(),$Q212=FALSE()),"No fault detail given - needs technician inspection",""),IF(AND(COUNTIF($F$3:$F$252,$F212)&gt;1,LOWER(TRIM($F212))&lt;&gt;"empty"),"Duplicate Serial No - verify device identity",""),IF((--$L212+--$M212+--$N212+--$O212+--$P212)&gt;1,"Multiple fault types detected - review full details before repair","")))</f>
        <v/>
      </c>
      <c r="W212" s="36"/>
      <c r="X212" s="36"/>
    </row>
    <row r="213" customFormat="false" ht="15" hidden="false" customHeight="true" outlineLevel="0" collapsed="false">
      <c r="A213" s="36" t="str">
        <f aca="false">IF($B213="","",211)</f>
        <v/>
      </c>
      <c r="B213" s="37"/>
      <c r="C213" s="36"/>
      <c r="D213" s="36" t="str">
        <f aca="false">IF($B213="","",IFERROR(VLOOKUP(TRIM($C213),ModelMap,2,FALSE()),TRIM($C213)))</f>
        <v/>
      </c>
      <c r="E213" s="36"/>
      <c r="F213" s="36"/>
      <c r="G213" s="36"/>
      <c r="H213" s="36"/>
      <c r="I213" s="36"/>
      <c r="J213" s="36"/>
      <c r="K213" s="36" t="str">
        <f aca="false">IF($B213="","",LOWER(TRIM($G213)&amp;" | "&amp;TRIM($H213)&amp;" | "&amp;TRIM($I213)))</f>
        <v/>
      </c>
      <c r="L213" s="36" t="str">
        <f aca="false">IF($B213="","",SUMPRODUCT(--ISNUMBER(SEARCH(SensorKW,$K213)))&gt;0)</f>
        <v/>
      </c>
      <c r="M213" s="36" t="str">
        <f aca="false">IF($B213="","",SUMPRODUCT(--ISNUMBER(SEARCH(DisplayKW,$K213)))&gt;0)</f>
        <v/>
      </c>
      <c r="N213" s="36" t="str">
        <f aca="false">IF($B213="","",SUMPRODUCT(--ISNUMBER(SEARCH(KeypadKW,$K213)))&gt;0)</f>
        <v/>
      </c>
      <c r="O213" s="36" t="str">
        <f aca="false">IF($B213="","",SUMPRODUCT(--ISNUMBER(SEARCH(PowerKW,$K213)))&gt;0)</f>
        <v/>
      </c>
      <c r="P213" s="36" t="str">
        <f aca="false">IF($B213="","",SUMPRODUCT(--ISNUMBER(SEARCH(SpeakerKW,$K213)))&gt;0)</f>
        <v/>
      </c>
      <c r="Q213" s="36" t="str">
        <f aca="false">IF($B213="","",OR(SUMPRODUCT(--ISNUMBER(SEARCH(EmptyKW,$K213)))&gt;0,LOWER(TRIM($F213))="empty"))</f>
        <v/>
      </c>
      <c r="R213" s="36" t="str">
        <f aca="false">IF($B213="","",OR(ISNUMBER(SEARCH("repair",$G213)),ISNUMBER(SEARCH("not working",$G213))))</f>
        <v/>
      </c>
      <c r="S213" s="36" t="str">
        <f aca="false">IF(AND($B213&lt;&gt;"",$M213=TRUE(),$L213=FALSE(),$Q213=FALSE()),COUNTIFS($M$3:$M213,TRUE(),$L$3:$L213,FALSE(),$Q$3:$Q213,FALSE()),"")</f>
        <v/>
      </c>
      <c r="T213" s="36" t="str">
        <f aca="false">IF($B213="","",IF($Q213=TRUE(),"U1",IF($L213=TRUE(),"S1",IF($M213=TRUE(),"D"&amp;MIN(4,INT(($S213-1)/DisplayCapacity)+1),IF($N213=TRUE(),"K1",IF($O213=TRUE(),"P1",IF($P213=TRUE(),"U1",IF($R213=TRUE(),"U1","W"))))))))</f>
        <v/>
      </c>
      <c r="U213" s="36" t="str">
        <f aca="false">IF($T213="","",$T213&amp;"-"&amp;COUNTIF($T$3:T213,$T213))</f>
        <v/>
      </c>
      <c r="V213" s="36" t="str">
        <f aca="false">IF($B213="","",_xlfn.TEXTJOIN(" | ",TRUE(),IF($Q213=TRUE(),"Empty box - no physical device, verify status",""),IF(AND($P213=TRUE(),$L213=FALSE(),$M213=FALSE(),$N213=FALSE(),$O213=FALSE(),$Q213=FALSE()),"Speaker fault only - needs manual box assignment",""),IF(AND($R213=TRUE(),$L213=FALSE(),$M213=FALSE(),$N213=FALSE(),$O213=FALSE(),$P213=FALSE(),$Q213=FALSE()),"No fault detail given - needs technician inspection",""),IF(AND(COUNTIF($F$3:$F$252,$F213)&gt;1,LOWER(TRIM($F213))&lt;&gt;"empty"),"Duplicate Serial No - verify device identity",""),IF((--$L213+--$M213+--$N213+--$O213+--$P213)&gt;1,"Multiple fault types detected - review full details before repair","")))</f>
        <v/>
      </c>
      <c r="W213" s="36"/>
      <c r="X213" s="36"/>
    </row>
    <row r="214" customFormat="false" ht="15" hidden="false" customHeight="true" outlineLevel="0" collapsed="false">
      <c r="A214" s="36" t="str">
        <f aca="false">IF($B214="","",212)</f>
        <v/>
      </c>
      <c r="B214" s="37"/>
      <c r="C214" s="36"/>
      <c r="D214" s="36" t="str">
        <f aca="false">IF($B214="","",IFERROR(VLOOKUP(TRIM($C214),ModelMap,2,FALSE()),TRIM($C214)))</f>
        <v/>
      </c>
      <c r="E214" s="36"/>
      <c r="F214" s="36"/>
      <c r="G214" s="36"/>
      <c r="H214" s="36"/>
      <c r="I214" s="36"/>
      <c r="J214" s="36"/>
      <c r="K214" s="36" t="str">
        <f aca="false">IF($B214="","",LOWER(TRIM($G214)&amp;" | "&amp;TRIM($H214)&amp;" | "&amp;TRIM($I214)))</f>
        <v/>
      </c>
      <c r="L214" s="36" t="str">
        <f aca="false">IF($B214="","",SUMPRODUCT(--ISNUMBER(SEARCH(SensorKW,$K214)))&gt;0)</f>
        <v/>
      </c>
      <c r="M214" s="36" t="str">
        <f aca="false">IF($B214="","",SUMPRODUCT(--ISNUMBER(SEARCH(DisplayKW,$K214)))&gt;0)</f>
        <v/>
      </c>
      <c r="N214" s="36" t="str">
        <f aca="false">IF($B214="","",SUMPRODUCT(--ISNUMBER(SEARCH(KeypadKW,$K214)))&gt;0)</f>
        <v/>
      </c>
      <c r="O214" s="36" t="str">
        <f aca="false">IF($B214="","",SUMPRODUCT(--ISNUMBER(SEARCH(PowerKW,$K214)))&gt;0)</f>
        <v/>
      </c>
      <c r="P214" s="36" t="str">
        <f aca="false">IF($B214="","",SUMPRODUCT(--ISNUMBER(SEARCH(SpeakerKW,$K214)))&gt;0)</f>
        <v/>
      </c>
      <c r="Q214" s="36" t="str">
        <f aca="false">IF($B214="","",OR(SUMPRODUCT(--ISNUMBER(SEARCH(EmptyKW,$K214)))&gt;0,LOWER(TRIM($F214))="empty"))</f>
        <v/>
      </c>
      <c r="R214" s="36" t="str">
        <f aca="false">IF($B214="","",OR(ISNUMBER(SEARCH("repair",$G214)),ISNUMBER(SEARCH("not working",$G214))))</f>
        <v/>
      </c>
      <c r="S214" s="36" t="str">
        <f aca="false">IF(AND($B214&lt;&gt;"",$M214=TRUE(),$L214=FALSE(),$Q214=FALSE()),COUNTIFS($M$3:$M214,TRUE(),$L$3:$L214,FALSE(),$Q$3:$Q214,FALSE()),"")</f>
        <v/>
      </c>
      <c r="T214" s="36" t="str">
        <f aca="false">IF($B214="","",IF($Q214=TRUE(),"U1",IF($L214=TRUE(),"S1",IF($M214=TRUE(),"D"&amp;MIN(4,INT(($S214-1)/DisplayCapacity)+1),IF($N214=TRUE(),"K1",IF($O214=TRUE(),"P1",IF($P214=TRUE(),"U1",IF($R214=TRUE(),"U1","W"))))))))</f>
        <v/>
      </c>
      <c r="U214" s="36" t="str">
        <f aca="false">IF($T214="","",$T214&amp;"-"&amp;COUNTIF($T$3:T214,$T214))</f>
        <v/>
      </c>
      <c r="V214" s="36" t="str">
        <f aca="false">IF($B214="","",_xlfn.TEXTJOIN(" | ",TRUE(),IF($Q214=TRUE(),"Empty box - no physical device, verify status",""),IF(AND($P214=TRUE(),$L214=FALSE(),$M214=FALSE(),$N214=FALSE(),$O214=FALSE(),$Q214=FALSE()),"Speaker fault only - needs manual box assignment",""),IF(AND($R214=TRUE(),$L214=FALSE(),$M214=FALSE(),$N214=FALSE(),$O214=FALSE(),$P214=FALSE(),$Q214=FALSE()),"No fault detail given - needs technician inspection",""),IF(AND(COUNTIF($F$3:$F$252,$F214)&gt;1,LOWER(TRIM($F214))&lt;&gt;"empty"),"Duplicate Serial No - verify device identity",""),IF((--$L214+--$M214+--$N214+--$O214+--$P214)&gt;1,"Multiple fault types detected - review full details before repair","")))</f>
        <v/>
      </c>
      <c r="W214" s="36"/>
      <c r="X214" s="36"/>
    </row>
    <row r="215" customFormat="false" ht="15" hidden="false" customHeight="true" outlineLevel="0" collapsed="false">
      <c r="A215" s="36" t="str">
        <f aca="false">IF($B215="","",213)</f>
        <v/>
      </c>
      <c r="B215" s="37"/>
      <c r="C215" s="36"/>
      <c r="D215" s="36" t="str">
        <f aca="false">IF($B215="","",IFERROR(VLOOKUP(TRIM($C215),ModelMap,2,FALSE()),TRIM($C215)))</f>
        <v/>
      </c>
      <c r="E215" s="36"/>
      <c r="F215" s="36"/>
      <c r="G215" s="36"/>
      <c r="H215" s="36"/>
      <c r="I215" s="36"/>
      <c r="J215" s="36"/>
      <c r="K215" s="36" t="str">
        <f aca="false">IF($B215="","",LOWER(TRIM($G215)&amp;" | "&amp;TRIM($H215)&amp;" | "&amp;TRIM($I215)))</f>
        <v/>
      </c>
      <c r="L215" s="36" t="str">
        <f aca="false">IF($B215="","",SUMPRODUCT(--ISNUMBER(SEARCH(SensorKW,$K215)))&gt;0)</f>
        <v/>
      </c>
      <c r="M215" s="36" t="str">
        <f aca="false">IF($B215="","",SUMPRODUCT(--ISNUMBER(SEARCH(DisplayKW,$K215)))&gt;0)</f>
        <v/>
      </c>
      <c r="N215" s="36" t="str">
        <f aca="false">IF($B215="","",SUMPRODUCT(--ISNUMBER(SEARCH(KeypadKW,$K215)))&gt;0)</f>
        <v/>
      </c>
      <c r="O215" s="36" t="str">
        <f aca="false">IF($B215="","",SUMPRODUCT(--ISNUMBER(SEARCH(PowerKW,$K215)))&gt;0)</f>
        <v/>
      </c>
      <c r="P215" s="36" t="str">
        <f aca="false">IF($B215="","",SUMPRODUCT(--ISNUMBER(SEARCH(SpeakerKW,$K215)))&gt;0)</f>
        <v/>
      </c>
      <c r="Q215" s="36" t="str">
        <f aca="false">IF($B215="","",OR(SUMPRODUCT(--ISNUMBER(SEARCH(EmptyKW,$K215)))&gt;0,LOWER(TRIM($F215))="empty"))</f>
        <v/>
      </c>
      <c r="R215" s="36" t="str">
        <f aca="false">IF($B215="","",OR(ISNUMBER(SEARCH("repair",$G215)),ISNUMBER(SEARCH("not working",$G215))))</f>
        <v/>
      </c>
      <c r="S215" s="36" t="str">
        <f aca="false">IF(AND($B215&lt;&gt;"",$M215=TRUE(),$L215=FALSE(),$Q215=FALSE()),COUNTIFS($M$3:$M215,TRUE(),$L$3:$L215,FALSE(),$Q$3:$Q215,FALSE()),"")</f>
        <v/>
      </c>
      <c r="T215" s="36" t="str">
        <f aca="false">IF($B215="","",IF($Q215=TRUE(),"U1",IF($L215=TRUE(),"S1",IF($M215=TRUE(),"D"&amp;MIN(4,INT(($S215-1)/DisplayCapacity)+1),IF($N215=TRUE(),"K1",IF($O215=TRUE(),"P1",IF($P215=TRUE(),"U1",IF($R215=TRUE(),"U1","W"))))))))</f>
        <v/>
      </c>
      <c r="U215" s="36" t="str">
        <f aca="false">IF($T215="","",$T215&amp;"-"&amp;COUNTIF($T$3:T215,$T215))</f>
        <v/>
      </c>
      <c r="V215" s="36" t="str">
        <f aca="false">IF($B215="","",_xlfn.TEXTJOIN(" | ",TRUE(),IF($Q215=TRUE(),"Empty box - no physical device, verify status",""),IF(AND($P215=TRUE(),$L215=FALSE(),$M215=FALSE(),$N215=FALSE(),$O215=FALSE(),$Q215=FALSE()),"Speaker fault only - needs manual box assignment",""),IF(AND($R215=TRUE(),$L215=FALSE(),$M215=FALSE(),$N215=FALSE(),$O215=FALSE(),$P215=FALSE(),$Q215=FALSE()),"No fault detail given - needs technician inspection",""),IF(AND(COUNTIF($F$3:$F$252,$F215)&gt;1,LOWER(TRIM($F215))&lt;&gt;"empty"),"Duplicate Serial No - verify device identity",""),IF((--$L215+--$M215+--$N215+--$O215+--$P215)&gt;1,"Multiple fault types detected - review full details before repair","")))</f>
        <v/>
      </c>
      <c r="W215" s="36"/>
      <c r="X215" s="36"/>
    </row>
    <row r="216" customFormat="false" ht="15" hidden="false" customHeight="true" outlineLevel="0" collapsed="false">
      <c r="A216" s="36" t="str">
        <f aca="false">IF($B216="","",214)</f>
        <v/>
      </c>
      <c r="B216" s="37"/>
      <c r="C216" s="36"/>
      <c r="D216" s="36" t="str">
        <f aca="false">IF($B216="","",IFERROR(VLOOKUP(TRIM($C216),ModelMap,2,FALSE()),TRIM($C216)))</f>
        <v/>
      </c>
      <c r="E216" s="36"/>
      <c r="F216" s="36"/>
      <c r="G216" s="36"/>
      <c r="H216" s="36"/>
      <c r="I216" s="36"/>
      <c r="J216" s="36"/>
      <c r="K216" s="36" t="str">
        <f aca="false">IF($B216="","",LOWER(TRIM($G216)&amp;" | "&amp;TRIM($H216)&amp;" | "&amp;TRIM($I216)))</f>
        <v/>
      </c>
      <c r="L216" s="36" t="str">
        <f aca="false">IF($B216="","",SUMPRODUCT(--ISNUMBER(SEARCH(SensorKW,$K216)))&gt;0)</f>
        <v/>
      </c>
      <c r="M216" s="36" t="str">
        <f aca="false">IF($B216="","",SUMPRODUCT(--ISNUMBER(SEARCH(DisplayKW,$K216)))&gt;0)</f>
        <v/>
      </c>
      <c r="N216" s="36" t="str">
        <f aca="false">IF($B216="","",SUMPRODUCT(--ISNUMBER(SEARCH(KeypadKW,$K216)))&gt;0)</f>
        <v/>
      </c>
      <c r="O216" s="36" t="str">
        <f aca="false">IF($B216="","",SUMPRODUCT(--ISNUMBER(SEARCH(PowerKW,$K216)))&gt;0)</f>
        <v/>
      </c>
      <c r="P216" s="36" t="str">
        <f aca="false">IF($B216="","",SUMPRODUCT(--ISNUMBER(SEARCH(SpeakerKW,$K216)))&gt;0)</f>
        <v/>
      </c>
      <c r="Q216" s="36" t="str">
        <f aca="false">IF($B216="","",OR(SUMPRODUCT(--ISNUMBER(SEARCH(EmptyKW,$K216)))&gt;0,LOWER(TRIM($F216))="empty"))</f>
        <v/>
      </c>
      <c r="R216" s="36" t="str">
        <f aca="false">IF($B216="","",OR(ISNUMBER(SEARCH("repair",$G216)),ISNUMBER(SEARCH("not working",$G216))))</f>
        <v/>
      </c>
      <c r="S216" s="36" t="str">
        <f aca="false">IF(AND($B216&lt;&gt;"",$M216=TRUE(),$L216=FALSE(),$Q216=FALSE()),COUNTIFS($M$3:$M216,TRUE(),$L$3:$L216,FALSE(),$Q$3:$Q216,FALSE()),"")</f>
        <v/>
      </c>
      <c r="T216" s="36" t="str">
        <f aca="false">IF($B216="","",IF($Q216=TRUE(),"U1",IF($L216=TRUE(),"S1",IF($M216=TRUE(),"D"&amp;MIN(4,INT(($S216-1)/DisplayCapacity)+1),IF($N216=TRUE(),"K1",IF($O216=TRUE(),"P1",IF($P216=TRUE(),"U1",IF($R216=TRUE(),"U1","W"))))))))</f>
        <v/>
      </c>
      <c r="U216" s="36" t="str">
        <f aca="false">IF($T216="","",$T216&amp;"-"&amp;COUNTIF($T$3:T216,$T216))</f>
        <v/>
      </c>
      <c r="V216" s="36" t="str">
        <f aca="false">IF($B216="","",_xlfn.TEXTJOIN(" | ",TRUE(),IF($Q216=TRUE(),"Empty box - no physical device, verify status",""),IF(AND($P216=TRUE(),$L216=FALSE(),$M216=FALSE(),$N216=FALSE(),$O216=FALSE(),$Q216=FALSE()),"Speaker fault only - needs manual box assignment",""),IF(AND($R216=TRUE(),$L216=FALSE(),$M216=FALSE(),$N216=FALSE(),$O216=FALSE(),$P216=FALSE(),$Q216=FALSE()),"No fault detail given - needs technician inspection",""),IF(AND(COUNTIF($F$3:$F$252,$F216)&gt;1,LOWER(TRIM($F216))&lt;&gt;"empty"),"Duplicate Serial No - verify device identity",""),IF((--$L216+--$M216+--$N216+--$O216+--$P216)&gt;1,"Multiple fault types detected - review full details before repair","")))</f>
        <v/>
      </c>
      <c r="W216" s="36"/>
      <c r="X216" s="36"/>
    </row>
    <row r="217" customFormat="false" ht="15" hidden="false" customHeight="true" outlineLevel="0" collapsed="false">
      <c r="A217" s="36" t="str">
        <f aca="false">IF($B217="","",215)</f>
        <v/>
      </c>
      <c r="B217" s="37"/>
      <c r="C217" s="36"/>
      <c r="D217" s="36" t="str">
        <f aca="false">IF($B217="","",IFERROR(VLOOKUP(TRIM($C217),ModelMap,2,FALSE()),TRIM($C217)))</f>
        <v/>
      </c>
      <c r="E217" s="36"/>
      <c r="F217" s="36"/>
      <c r="G217" s="36"/>
      <c r="H217" s="36"/>
      <c r="I217" s="36"/>
      <c r="J217" s="36"/>
      <c r="K217" s="36" t="str">
        <f aca="false">IF($B217="","",LOWER(TRIM($G217)&amp;" | "&amp;TRIM($H217)&amp;" | "&amp;TRIM($I217)))</f>
        <v/>
      </c>
      <c r="L217" s="36" t="str">
        <f aca="false">IF($B217="","",SUMPRODUCT(--ISNUMBER(SEARCH(SensorKW,$K217)))&gt;0)</f>
        <v/>
      </c>
      <c r="M217" s="36" t="str">
        <f aca="false">IF($B217="","",SUMPRODUCT(--ISNUMBER(SEARCH(DisplayKW,$K217)))&gt;0)</f>
        <v/>
      </c>
      <c r="N217" s="36" t="str">
        <f aca="false">IF($B217="","",SUMPRODUCT(--ISNUMBER(SEARCH(KeypadKW,$K217)))&gt;0)</f>
        <v/>
      </c>
      <c r="O217" s="36" t="str">
        <f aca="false">IF($B217="","",SUMPRODUCT(--ISNUMBER(SEARCH(PowerKW,$K217)))&gt;0)</f>
        <v/>
      </c>
      <c r="P217" s="36" t="str">
        <f aca="false">IF($B217="","",SUMPRODUCT(--ISNUMBER(SEARCH(SpeakerKW,$K217)))&gt;0)</f>
        <v/>
      </c>
      <c r="Q217" s="36" t="str">
        <f aca="false">IF($B217="","",OR(SUMPRODUCT(--ISNUMBER(SEARCH(EmptyKW,$K217)))&gt;0,LOWER(TRIM($F217))="empty"))</f>
        <v/>
      </c>
      <c r="R217" s="36" t="str">
        <f aca="false">IF($B217="","",OR(ISNUMBER(SEARCH("repair",$G217)),ISNUMBER(SEARCH("not working",$G217))))</f>
        <v/>
      </c>
      <c r="S217" s="36" t="str">
        <f aca="false">IF(AND($B217&lt;&gt;"",$M217=TRUE(),$L217=FALSE(),$Q217=FALSE()),COUNTIFS($M$3:$M217,TRUE(),$L$3:$L217,FALSE(),$Q$3:$Q217,FALSE()),"")</f>
        <v/>
      </c>
      <c r="T217" s="36" t="str">
        <f aca="false">IF($B217="","",IF($Q217=TRUE(),"U1",IF($L217=TRUE(),"S1",IF($M217=TRUE(),"D"&amp;MIN(4,INT(($S217-1)/DisplayCapacity)+1),IF($N217=TRUE(),"K1",IF($O217=TRUE(),"P1",IF($P217=TRUE(),"U1",IF($R217=TRUE(),"U1","W"))))))))</f>
        <v/>
      </c>
      <c r="U217" s="36" t="str">
        <f aca="false">IF($T217="","",$T217&amp;"-"&amp;COUNTIF($T$3:T217,$T217))</f>
        <v/>
      </c>
      <c r="V217" s="36" t="str">
        <f aca="false">IF($B217="","",_xlfn.TEXTJOIN(" | ",TRUE(),IF($Q217=TRUE(),"Empty box - no physical device, verify status",""),IF(AND($P217=TRUE(),$L217=FALSE(),$M217=FALSE(),$N217=FALSE(),$O217=FALSE(),$Q217=FALSE()),"Speaker fault only - needs manual box assignment",""),IF(AND($R217=TRUE(),$L217=FALSE(),$M217=FALSE(),$N217=FALSE(),$O217=FALSE(),$P217=FALSE(),$Q217=FALSE()),"No fault detail given - needs technician inspection",""),IF(AND(COUNTIF($F$3:$F$252,$F217)&gt;1,LOWER(TRIM($F217))&lt;&gt;"empty"),"Duplicate Serial No - verify device identity",""),IF((--$L217+--$M217+--$N217+--$O217+--$P217)&gt;1,"Multiple fault types detected - review full details before repair","")))</f>
        <v/>
      </c>
      <c r="W217" s="36"/>
      <c r="X217" s="36"/>
    </row>
    <row r="218" customFormat="false" ht="15" hidden="false" customHeight="true" outlineLevel="0" collapsed="false">
      <c r="A218" s="36" t="str">
        <f aca="false">IF($B218="","",216)</f>
        <v/>
      </c>
      <c r="B218" s="37"/>
      <c r="C218" s="36"/>
      <c r="D218" s="36" t="str">
        <f aca="false">IF($B218="","",IFERROR(VLOOKUP(TRIM($C218),ModelMap,2,FALSE()),TRIM($C218)))</f>
        <v/>
      </c>
      <c r="E218" s="36"/>
      <c r="F218" s="36"/>
      <c r="G218" s="36"/>
      <c r="H218" s="36"/>
      <c r="I218" s="36"/>
      <c r="J218" s="36"/>
      <c r="K218" s="36" t="str">
        <f aca="false">IF($B218="","",LOWER(TRIM($G218)&amp;" | "&amp;TRIM($H218)&amp;" | "&amp;TRIM($I218)))</f>
        <v/>
      </c>
      <c r="L218" s="36" t="str">
        <f aca="false">IF($B218="","",SUMPRODUCT(--ISNUMBER(SEARCH(SensorKW,$K218)))&gt;0)</f>
        <v/>
      </c>
      <c r="M218" s="36" t="str">
        <f aca="false">IF($B218="","",SUMPRODUCT(--ISNUMBER(SEARCH(DisplayKW,$K218)))&gt;0)</f>
        <v/>
      </c>
      <c r="N218" s="36" t="str">
        <f aca="false">IF($B218="","",SUMPRODUCT(--ISNUMBER(SEARCH(KeypadKW,$K218)))&gt;0)</f>
        <v/>
      </c>
      <c r="O218" s="36" t="str">
        <f aca="false">IF($B218="","",SUMPRODUCT(--ISNUMBER(SEARCH(PowerKW,$K218)))&gt;0)</f>
        <v/>
      </c>
      <c r="P218" s="36" t="str">
        <f aca="false">IF($B218="","",SUMPRODUCT(--ISNUMBER(SEARCH(SpeakerKW,$K218)))&gt;0)</f>
        <v/>
      </c>
      <c r="Q218" s="36" t="str">
        <f aca="false">IF($B218="","",OR(SUMPRODUCT(--ISNUMBER(SEARCH(EmptyKW,$K218)))&gt;0,LOWER(TRIM($F218))="empty"))</f>
        <v/>
      </c>
      <c r="R218" s="36" t="str">
        <f aca="false">IF($B218="","",OR(ISNUMBER(SEARCH("repair",$G218)),ISNUMBER(SEARCH("not working",$G218))))</f>
        <v/>
      </c>
      <c r="S218" s="36" t="str">
        <f aca="false">IF(AND($B218&lt;&gt;"",$M218=TRUE(),$L218=FALSE(),$Q218=FALSE()),COUNTIFS($M$3:$M218,TRUE(),$L$3:$L218,FALSE(),$Q$3:$Q218,FALSE()),"")</f>
        <v/>
      </c>
      <c r="T218" s="36" t="str">
        <f aca="false">IF($B218="","",IF($Q218=TRUE(),"U1",IF($L218=TRUE(),"S1",IF($M218=TRUE(),"D"&amp;MIN(4,INT(($S218-1)/DisplayCapacity)+1),IF($N218=TRUE(),"K1",IF($O218=TRUE(),"P1",IF($P218=TRUE(),"U1",IF($R218=TRUE(),"U1","W"))))))))</f>
        <v/>
      </c>
      <c r="U218" s="36" t="str">
        <f aca="false">IF($T218="","",$T218&amp;"-"&amp;COUNTIF($T$3:T218,$T218))</f>
        <v/>
      </c>
      <c r="V218" s="36" t="str">
        <f aca="false">IF($B218="","",_xlfn.TEXTJOIN(" | ",TRUE(),IF($Q218=TRUE(),"Empty box - no physical device, verify status",""),IF(AND($P218=TRUE(),$L218=FALSE(),$M218=FALSE(),$N218=FALSE(),$O218=FALSE(),$Q218=FALSE()),"Speaker fault only - needs manual box assignment",""),IF(AND($R218=TRUE(),$L218=FALSE(),$M218=FALSE(),$N218=FALSE(),$O218=FALSE(),$P218=FALSE(),$Q218=FALSE()),"No fault detail given - needs technician inspection",""),IF(AND(COUNTIF($F$3:$F$252,$F218)&gt;1,LOWER(TRIM($F218))&lt;&gt;"empty"),"Duplicate Serial No - verify device identity",""),IF((--$L218+--$M218+--$N218+--$O218+--$P218)&gt;1,"Multiple fault types detected - review full details before repair","")))</f>
        <v/>
      </c>
      <c r="W218" s="36"/>
      <c r="X218" s="36"/>
    </row>
    <row r="219" customFormat="false" ht="15" hidden="false" customHeight="true" outlineLevel="0" collapsed="false">
      <c r="A219" s="36" t="str">
        <f aca="false">IF($B219="","",217)</f>
        <v/>
      </c>
      <c r="B219" s="37"/>
      <c r="C219" s="36"/>
      <c r="D219" s="36" t="str">
        <f aca="false">IF($B219="","",IFERROR(VLOOKUP(TRIM($C219),ModelMap,2,FALSE()),TRIM($C219)))</f>
        <v/>
      </c>
      <c r="E219" s="36"/>
      <c r="F219" s="36"/>
      <c r="G219" s="36"/>
      <c r="H219" s="36"/>
      <c r="I219" s="36"/>
      <c r="J219" s="36"/>
      <c r="K219" s="36" t="str">
        <f aca="false">IF($B219="","",LOWER(TRIM($G219)&amp;" | "&amp;TRIM($H219)&amp;" | "&amp;TRIM($I219)))</f>
        <v/>
      </c>
      <c r="L219" s="36" t="str">
        <f aca="false">IF($B219="","",SUMPRODUCT(--ISNUMBER(SEARCH(SensorKW,$K219)))&gt;0)</f>
        <v/>
      </c>
      <c r="M219" s="36" t="str">
        <f aca="false">IF($B219="","",SUMPRODUCT(--ISNUMBER(SEARCH(DisplayKW,$K219)))&gt;0)</f>
        <v/>
      </c>
      <c r="N219" s="36" t="str">
        <f aca="false">IF($B219="","",SUMPRODUCT(--ISNUMBER(SEARCH(KeypadKW,$K219)))&gt;0)</f>
        <v/>
      </c>
      <c r="O219" s="36" t="str">
        <f aca="false">IF($B219="","",SUMPRODUCT(--ISNUMBER(SEARCH(PowerKW,$K219)))&gt;0)</f>
        <v/>
      </c>
      <c r="P219" s="36" t="str">
        <f aca="false">IF($B219="","",SUMPRODUCT(--ISNUMBER(SEARCH(SpeakerKW,$K219)))&gt;0)</f>
        <v/>
      </c>
      <c r="Q219" s="36" t="str">
        <f aca="false">IF($B219="","",OR(SUMPRODUCT(--ISNUMBER(SEARCH(EmptyKW,$K219)))&gt;0,LOWER(TRIM($F219))="empty"))</f>
        <v/>
      </c>
      <c r="R219" s="36" t="str">
        <f aca="false">IF($B219="","",OR(ISNUMBER(SEARCH("repair",$G219)),ISNUMBER(SEARCH("not working",$G219))))</f>
        <v/>
      </c>
      <c r="S219" s="36" t="str">
        <f aca="false">IF(AND($B219&lt;&gt;"",$M219=TRUE(),$L219=FALSE(),$Q219=FALSE()),COUNTIFS($M$3:$M219,TRUE(),$L$3:$L219,FALSE(),$Q$3:$Q219,FALSE()),"")</f>
        <v/>
      </c>
      <c r="T219" s="36" t="str">
        <f aca="false">IF($B219="","",IF($Q219=TRUE(),"U1",IF($L219=TRUE(),"S1",IF($M219=TRUE(),"D"&amp;MIN(4,INT(($S219-1)/DisplayCapacity)+1),IF($N219=TRUE(),"K1",IF($O219=TRUE(),"P1",IF($P219=TRUE(),"U1",IF($R219=TRUE(),"U1","W"))))))))</f>
        <v/>
      </c>
      <c r="U219" s="36" t="str">
        <f aca="false">IF($T219="","",$T219&amp;"-"&amp;COUNTIF($T$3:T219,$T219))</f>
        <v/>
      </c>
      <c r="V219" s="36" t="str">
        <f aca="false">IF($B219="","",_xlfn.TEXTJOIN(" | ",TRUE(),IF($Q219=TRUE(),"Empty box - no physical device, verify status",""),IF(AND($P219=TRUE(),$L219=FALSE(),$M219=FALSE(),$N219=FALSE(),$O219=FALSE(),$Q219=FALSE()),"Speaker fault only - needs manual box assignment",""),IF(AND($R219=TRUE(),$L219=FALSE(),$M219=FALSE(),$N219=FALSE(),$O219=FALSE(),$P219=FALSE(),$Q219=FALSE()),"No fault detail given - needs technician inspection",""),IF(AND(COUNTIF($F$3:$F$252,$F219)&gt;1,LOWER(TRIM($F219))&lt;&gt;"empty"),"Duplicate Serial No - verify device identity",""),IF((--$L219+--$M219+--$N219+--$O219+--$P219)&gt;1,"Multiple fault types detected - review full details before repair","")))</f>
        <v/>
      </c>
      <c r="W219" s="36"/>
      <c r="X219" s="36"/>
    </row>
    <row r="220" customFormat="false" ht="15" hidden="false" customHeight="true" outlineLevel="0" collapsed="false">
      <c r="A220" s="36" t="str">
        <f aca="false">IF($B220="","",218)</f>
        <v/>
      </c>
      <c r="B220" s="37"/>
      <c r="C220" s="36"/>
      <c r="D220" s="36" t="str">
        <f aca="false">IF($B220="","",IFERROR(VLOOKUP(TRIM($C220),ModelMap,2,FALSE()),TRIM($C220)))</f>
        <v/>
      </c>
      <c r="E220" s="36"/>
      <c r="F220" s="36"/>
      <c r="G220" s="36"/>
      <c r="H220" s="36"/>
      <c r="I220" s="36"/>
      <c r="J220" s="36"/>
      <c r="K220" s="36" t="str">
        <f aca="false">IF($B220="","",LOWER(TRIM($G220)&amp;" | "&amp;TRIM($H220)&amp;" | "&amp;TRIM($I220)))</f>
        <v/>
      </c>
      <c r="L220" s="36" t="str">
        <f aca="false">IF($B220="","",SUMPRODUCT(--ISNUMBER(SEARCH(SensorKW,$K220)))&gt;0)</f>
        <v/>
      </c>
      <c r="M220" s="36" t="str">
        <f aca="false">IF($B220="","",SUMPRODUCT(--ISNUMBER(SEARCH(DisplayKW,$K220)))&gt;0)</f>
        <v/>
      </c>
      <c r="N220" s="36" t="str">
        <f aca="false">IF($B220="","",SUMPRODUCT(--ISNUMBER(SEARCH(KeypadKW,$K220)))&gt;0)</f>
        <v/>
      </c>
      <c r="O220" s="36" t="str">
        <f aca="false">IF($B220="","",SUMPRODUCT(--ISNUMBER(SEARCH(PowerKW,$K220)))&gt;0)</f>
        <v/>
      </c>
      <c r="P220" s="36" t="str">
        <f aca="false">IF($B220="","",SUMPRODUCT(--ISNUMBER(SEARCH(SpeakerKW,$K220)))&gt;0)</f>
        <v/>
      </c>
      <c r="Q220" s="36" t="str">
        <f aca="false">IF($B220="","",OR(SUMPRODUCT(--ISNUMBER(SEARCH(EmptyKW,$K220)))&gt;0,LOWER(TRIM($F220))="empty"))</f>
        <v/>
      </c>
      <c r="R220" s="36" t="str">
        <f aca="false">IF($B220="","",OR(ISNUMBER(SEARCH("repair",$G220)),ISNUMBER(SEARCH("not working",$G220))))</f>
        <v/>
      </c>
      <c r="S220" s="36" t="str">
        <f aca="false">IF(AND($B220&lt;&gt;"",$M220=TRUE(),$L220=FALSE(),$Q220=FALSE()),COUNTIFS($M$3:$M220,TRUE(),$L$3:$L220,FALSE(),$Q$3:$Q220,FALSE()),"")</f>
        <v/>
      </c>
      <c r="T220" s="36" t="str">
        <f aca="false">IF($B220="","",IF($Q220=TRUE(),"U1",IF($L220=TRUE(),"S1",IF($M220=TRUE(),"D"&amp;MIN(4,INT(($S220-1)/DisplayCapacity)+1),IF($N220=TRUE(),"K1",IF($O220=TRUE(),"P1",IF($P220=TRUE(),"U1",IF($R220=TRUE(),"U1","W"))))))))</f>
        <v/>
      </c>
      <c r="U220" s="36" t="str">
        <f aca="false">IF($T220="","",$T220&amp;"-"&amp;COUNTIF($T$3:T220,$T220))</f>
        <v/>
      </c>
      <c r="V220" s="36" t="str">
        <f aca="false">IF($B220="","",_xlfn.TEXTJOIN(" | ",TRUE(),IF($Q220=TRUE(),"Empty box - no physical device, verify status",""),IF(AND($P220=TRUE(),$L220=FALSE(),$M220=FALSE(),$N220=FALSE(),$O220=FALSE(),$Q220=FALSE()),"Speaker fault only - needs manual box assignment",""),IF(AND($R220=TRUE(),$L220=FALSE(),$M220=FALSE(),$N220=FALSE(),$O220=FALSE(),$P220=FALSE(),$Q220=FALSE()),"No fault detail given - needs technician inspection",""),IF(AND(COUNTIF($F$3:$F$252,$F220)&gt;1,LOWER(TRIM($F220))&lt;&gt;"empty"),"Duplicate Serial No - verify device identity",""),IF((--$L220+--$M220+--$N220+--$O220+--$P220)&gt;1,"Multiple fault types detected - review full details before repair","")))</f>
        <v/>
      </c>
      <c r="W220" s="36"/>
      <c r="X220" s="36"/>
    </row>
    <row r="221" customFormat="false" ht="15" hidden="false" customHeight="true" outlineLevel="0" collapsed="false">
      <c r="A221" s="36" t="str">
        <f aca="false">IF($B221="","",219)</f>
        <v/>
      </c>
      <c r="B221" s="37"/>
      <c r="C221" s="36"/>
      <c r="D221" s="36" t="str">
        <f aca="false">IF($B221="","",IFERROR(VLOOKUP(TRIM($C221),ModelMap,2,FALSE()),TRIM($C221)))</f>
        <v/>
      </c>
      <c r="E221" s="36"/>
      <c r="F221" s="36"/>
      <c r="G221" s="36"/>
      <c r="H221" s="36"/>
      <c r="I221" s="36"/>
      <c r="J221" s="36"/>
      <c r="K221" s="36" t="str">
        <f aca="false">IF($B221="","",LOWER(TRIM($G221)&amp;" | "&amp;TRIM($H221)&amp;" | "&amp;TRIM($I221)))</f>
        <v/>
      </c>
      <c r="L221" s="36" t="str">
        <f aca="false">IF($B221="","",SUMPRODUCT(--ISNUMBER(SEARCH(SensorKW,$K221)))&gt;0)</f>
        <v/>
      </c>
      <c r="M221" s="36" t="str">
        <f aca="false">IF($B221="","",SUMPRODUCT(--ISNUMBER(SEARCH(DisplayKW,$K221)))&gt;0)</f>
        <v/>
      </c>
      <c r="N221" s="36" t="str">
        <f aca="false">IF($B221="","",SUMPRODUCT(--ISNUMBER(SEARCH(KeypadKW,$K221)))&gt;0)</f>
        <v/>
      </c>
      <c r="O221" s="36" t="str">
        <f aca="false">IF($B221="","",SUMPRODUCT(--ISNUMBER(SEARCH(PowerKW,$K221)))&gt;0)</f>
        <v/>
      </c>
      <c r="P221" s="36" t="str">
        <f aca="false">IF($B221="","",SUMPRODUCT(--ISNUMBER(SEARCH(SpeakerKW,$K221)))&gt;0)</f>
        <v/>
      </c>
      <c r="Q221" s="36" t="str">
        <f aca="false">IF($B221="","",OR(SUMPRODUCT(--ISNUMBER(SEARCH(EmptyKW,$K221)))&gt;0,LOWER(TRIM($F221))="empty"))</f>
        <v/>
      </c>
      <c r="R221" s="36" t="str">
        <f aca="false">IF($B221="","",OR(ISNUMBER(SEARCH("repair",$G221)),ISNUMBER(SEARCH("not working",$G221))))</f>
        <v/>
      </c>
      <c r="S221" s="36" t="str">
        <f aca="false">IF(AND($B221&lt;&gt;"",$M221=TRUE(),$L221=FALSE(),$Q221=FALSE()),COUNTIFS($M$3:$M221,TRUE(),$L$3:$L221,FALSE(),$Q$3:$Q221,FALSE()),"")</f>
        <v/>
      </c>
      <c r="T221" s="36" t="str">
        <f aca="false">IF($B221="","",IF($Q221=TRUE(),"U1",IF($L221=TRUE(),"S1",IF($M221=TRUE(),"D"&amp;MIN(4,INT(($S221-1)/DisplayCapacity)+1),IF($N221=TRUE(),"K1",IF($O221=TRUE(),"P1",IF($P221=TRUE(),"U1",IF($R221=TRUE(),"U1","W"))))))))</f>
        <v/>
      </c>
      <c r="U221" s="36" t="str">
        <f aca="false">IF($T221="","",$T221&amp;"-"&amp;COUNTIF($T$3:T221,$T221))</f>
        <v/>
      </c>
      <c r="V221" s="36" t="str">
        <f aca="false">IF($B221="","",_xlfn.TEXTJOIN(" | ",TRUE(),IF($Q221=TRUE(),"Empty box - no physical device, verify status",""),IF(AND($P221=TRUE(),$L221=FALSE(),$M221=FALSE(),$N221=FALSE(),$O221=FALSE(),$Q221=FALSE()),"Speaker fault only - needs manual box assignment",""),IF(AND($R221=TRUE(),$L221=FALSE(),$M221=FALSE(),$N221=FALSE(),$O221=FALSE(),$P221=FALSE(),$Q221=FALSE()),"No fault detail given - needs technician inspection",""),IF(AND(COUNTIF($F$3:$F$252,$F221)&gt;1,LOWER(TRIM($F221))&lt;&gt;"empty"),"Duplicate Serial No - verify device identity",""),IF((--$L221+--$M221+--$N221+--$O221+--$P221)&gt;1,"Multiple fault types detected - review full details before repair","")))</f>
        <v/>
      </c>
      <c r="W221" s="36"/>
      <c r="X221" s="36"/>
    </row>
    <row r="222" customFormat="false" ht="15" hidden="false" customHeight="true" outlineLevel="0" collapsed="false">
      <c r="A222" s="36" t="str">
        <f aca="false">IF($B222="","",220)</f>
        <v/>
      </c>
      <c r="B222" s="37"/>
      <c r="C222" s="36"/>
      <c r="D222" s="36" t="str">
        <f aca="false">IF($B222="","",IFERROR(VLOOKUP(TRIM($C222),ModelMap,2,FALSE()),TRIM($C222)))</f>
        <v/>
      </c>
      <c r="E222" s="36"/>
      <c r="F222" s="36"/>
      <c r="G222" s="36"/>
      <c r="H222" s="36"/>
      <c r="I222" s="36"/>
      <c r="J222" s="36"/>
      <c r="K222" s="36" t="str">
        <f aca="false">IF($B222="","",LOWER(TRIM($G222)&amp;" | "&amp;TRIM($H222)&amp;" | "&amp;TRIM($I222)))</f>
        <v/>
      </c>
      <c r="L222" s="36" t="str">
        <f aca="false">IF($B222="","",SUMPRODUCT(--ISNUMBER(SEARCH(SensorKW,$K222)))&gt;0)</f>
        <v/>
      </c>
      <c r="M222" s="36" t="str">
        <f aca="false">IF($B222="","",SUMPRODUCT(--ISNUMBER(SEARCH(DisplayKW,$K222)))&gt;0)</f>
        <v/>
      </c>
      <c r="N222" s="36" t="str">
        <f aca="false">IF($B222="","",SUMPRODUCT(--ISNUMBER(SEARCH(KeypadKW,$K222)))&gt;0)</f>
        <v/>
      </c>
      <c r="O222" s="36" t="str">
        <f aca="false">IF($B222="","",SUMPRODUCT(--ISNUMBER(SEARCH(PowerKW,$K222)))&gt;0)</f>
        <v/>
      </c>
      <c r="P222" s="36" t="str">
        <f aca="false">IF($B222="","",SUMPRODUCT(--ISNUMBER(SEARCH(SpeakerKW,$K222)))&gt;0)</f>
        <v/>
      </c>
      <c r="Q222" s="36" t="str">
        <f aca="false">IF($B222="","",OR(SUMPRODUCT(--ISNUMBER(SEARCH(EmptyKW,$K222)))&gt;0,LOWER(TRIM($F222))="empty"))</f>
        <v/>
      </c>
      <c r="R222" s="36" t="str">
        <f aca="false">IF($B222="","",OR(ISNUMBER(SEARCH("repair",$G222)),ISNUMBER(SEARCH("not working",$G222))))</f>
        <v/>
      </c>
      <c r="S222" s="36" t="str">
        <f aca="false">IF(AND($B222&lt;&gt;"",$M222=TRUE(),$L222=FALSE(),$Q222=FALSE()),COUNTIFS($M$3:$M222,TRUE(),$L$3:$L222,FALSE(),$Q$3:$Q222,FALSE()),"")</f>
        <v/>
      </c>
      <c r="T222" s="36" t="str">
        <f aca="false">IF($B222="","",IF($Q222=TRUE(),"U1",IF($L222=TRUE(),"S1",IF($M222=TRUE(),"D"&amp;MIN(4,INT(($S222-1)/DisplayCapacity)+1),IF($N222=TRUE(),"K1",IF($O222=TRUE(),"P1",IF($P222=TRUE(),"U1",IF($R222=TRUE(),"U1","W"))))))))</f>
        <v/>
      </c>
      <c r="U222" s="36" t="str">
        <f aca="false">IF($T222="","",$T222&amp;"-"&amp;COUNTIF($T$3:T222,$T222))</f>
        <v/>
      </c>
      <c r="V222" s="36" t="str">
        <f aca="false">IF($B222="","",_xlfn.TEXTJOIN(" | ",TRUE(),IF($Q222=TRUE(),"Empty box - no physical device, verify status",""),IF(AND($P222=TRUE(),$L222=FALSE(),$M222=FALSE(),$N222=FALSE(),$O222=FALSE(),$Q222=FALSE()),"Speaker fault only - needs manual box assignment",""),IF(AND($R222=TRUE(),$L222=FALSE(),$M222=FALSE(),$N222=FALSE(),$O222=FALSE(),$P222=FALSE(),$Q222=FALSE()),"No fault detail given - needs technician inspection",""),IF(AND(COUNTIF($F$3:$F$252,$F222)&gt;1,LOWER(TRIM($F222))&lt;&gt;"empty"),"Duplicate Serial No - verify device identity",""),IF((--$L222+--$M222+--$N222+--$O222+--$P222)&gt;1,"Multiple fault types detected - review full details before repair","")))</f>
        <v/>
      </c>
      <c r="W222" s="36"/>
      <c r="X222" s="36"/>
    </row>
    <row r="223" customFormat="false" ht="15" hidden="false" customHeight="true" outlineLevel="0" collapsed="false">
      <c r="A223" s="36" t="str">
        <f aca="false">IF($B223="","",221)</f>
        <v/>
      </c>
      <c r="B223" s="37"/>
      <c r="C223" s="36"/>
      <c r="D223" s="36" t="str">
        <f aca="false">IF($B223="","",IFERROR(VLOOKUP(TRIM($C223),ModelMap,2,FALSE()),TRIM($C223)))</f>
        <v/>
      </c>
      <c r="E223" s="36"/>
      <c r="F223" s="36"/>
      <c r="G223" s="36"/>
      <c r="H223" s="36"/>
      <c r="I223" s="36"/>
      <c r="J223" s="36"/>
      <c r="K223" s="36" t="str">
        <f aca="false">IF($B223="","",LOWER(TRIM($G223)&amp;" | "&amp;TRIM($H223)&amp;" | "&amp;TRIM($I223)))</f>
        <v/>
      </c>
      <c r="L223" s="36" t="str">
        <f aca="false">IF($B223="","",SUMPRODUCT(--ISNUMBER(SEARCH(SensorKW,$K223)))&gt;0)</f>
        <v/>
      </c>
      <c r="M223" s="36" t="str">
        <f aca="false">IF($B223="","",SUMPRODUCT(--ISNUMBER(SEARCH(DisplayKW,$K223)))&gt;0)</f>
        <v/>
      </c>
      <c r="N223" s="36" t="str">
        <f aca="false">IF($B223="","",SUMPRODUCT(--ISNUMBER(SEARCH(KeypadKW,$K223)))&gt;0)</f>
        <v/>
      </c>
      <c r="O223" s="36" t="str">
        <f aca="false">IF($B223="","",SUMPRODUCT(--ISNUMBER(SEARCH(PowerKW,$K223)))&gt;0)</f>
        <v/>
      </c>
      <c r="P223" s="36" t="str">
        <f aca="false">IF($B223="","",SUMPRODUCT(--ISNUMBER(SEARCH(SpeakerKW,$K223)))&gt;0)</f>
        <v/>
      </c>
      <c r="Q223" s="36" t="str">
        <f aca="false">IF($B223="","",OR(SUMPRODUCT(--ISNUMBER(SEARCH(EmptyKW,$K223)))&gt;0,LOWER(TRIM($F223))="empty"))</f>
        <v/>
      </c>
      <c r="R223" s="36" t="str">
        <f aca="false">IF($B223="","",OR(ISNUMBER(SEARCH("repair",$G223)),ISNUMBER(SEARCH("not working",$G223))))</f>
        <v/>
      </c>
      <c r="S223" s="36" t="str">
        <f aca="false">IF(AND($B223&lt;&gt;"",$M223=TRUE(),$L223=FALSE(),$Q223=FALSE()),COUNTIFS($M$3:$M223,TRUE(),$L$3:$L223,FALSE(),$Q$3:$Q223,FALSE()),"")</f>
        <v/>
      </c>
      <c r="T223" s="36" t="str">
        <f aca="false">IF($B223="","",IF($Q223=TRUE(),"U1",IF($L223=TRUE(),"S1",IF($M223=TRUE(),"D"&amp;MIN(4,INT(($S223-1)/DisplayCapacity)+1),IF($N223=TRUE(),"K1",IF($O223=TRUE(),"P1",IF($P223=TRUE(),"U1",IF($R223=TRUE(),"U1","W"))))))))</f>
        <v/>
      </c>
      <c r="U223" s="36" t="str">
        <f aca="false">IF($T223="","",$T223&amp;"-"&amp;COUNTIF($T$3:T223,$T223))</f>
        <v/>
      </c>
      <c r="V223" s="36" t="str">
        <f aca="false">IF($B223="","",_xlfn.TEXTJOIN(" | ",TRUE(),IF($Q223=TRUE(),"Empty box - no physical device, verify status",""),IF(AND($P223=TRUE(),$L223=FALSE(),$M223=FALSE(),$N223=FALSE(),$O223=FALSE(),$Q223=FALSE()),"Speaker fault only - needs manual box assignment",""),IF(AND($R223=TRUE(),$L223=FALSE(),$M223=FALSE(),$N223=FALSE(),$O223=FALSE(),$P223=FALSE(),$Q223=FALSE()),"No fault detail given - needs technician inspection",""),IF(AND(COUNTIF($F$3:$F$252,$F223)&gt;1,LOWER(TRIM($F223))&lt;&gt;"empty"),"Duplicate Serial No - verify device identity",""),IF((--$L223+--$M223+--$N223+--$O223+--$P223)&gt;1,"Multiple fault types detected - review full details before repair","")))</f>
        <v/>
      </c>
      <c r="W223" s="36"/>
      <c r="X223" s="36"/>
    </row>
    <row r="224" customFormat="false" ht="15" hidden="false" customHeight="true" outlineLevel="0" collapsed="false">
      <c r="A224" s="36" t="str">
        <f aca="false">IF($B224="","",222)</f>
        <v/>
      </c>
      <c r="B224" s="37"/>
      <c r="C224" s="36"/>
      <c r="D224" s="36" t="str">
        <f aca="false">IF($B224="","",IFERROR(VLOOKUP(TRIM($C224),ModelMap,2,FALSE()),TRIM($C224)))</f>
        <v/>
      </c>
      <c r="E224" s="36"/>
      <c r="F224" s="36"/>
      <c r="G224" s="36"/>
      <c r="H224" s="36"/>
      <c r="I224" s="36"/>
      <c r="J224" s="36"/>
      <c r="K224" s="36" t="str">
        <f aca="false">IF($B224="","",LOWER(TRIM($G224)&amp;" | "&amp;TRIM($H224)&amp;" | "&amp;TRIM($I224)))</f>
        <v/>
      </c>
      <c r="L224" s="36" t="str">
        <f aca="false">IF($B224="","",SUMPRODUCT(--ISNUMBER(SEARCH(SensorKW,$K224)))&gt;0)</f>
        <v/>
      </c>
      <c r="M224" s="36" t="str">
        <f aca="false">IF($B224="","",SUMPRODUCT(--ISNUMBER(SEARCH(DisplayKW,$K224)))&gt;0)</f>
        <v/>
      </c>
      <c r="N224" s="36" t="str">
        <f aca="false">IF($B224="","",SUMPRODUCT(--ISNUMBER(SEARCH(KeypadKW,$K224)))&gt;0)</f>
        <v/>
      </c>
      <c r="O224" s="36" t="str">
        <f aca="false">IF($B224="","",SUMPRODUCT(--ISNUMBER(SEARCH(PowerKW,$K224)))&gt;0)</f>
        <v/>
      </c>
      <c r="P224" s="36" t="str">
        <f aca="false">IF($B224="","",SUMPRODUCT(--ISNUMBER(SEARCH(SpeakerKW,$K224)))&gt;0)</f>
        <v/>
      </c>
      <c r="Q224" s="36" t="str">
        <f aca="false">IF($B224="","",OR(SUMPRODUCT(--ISNUMBER(SEARCH(EmptyKW,$K224)))&gt;0,LOWER(TRIM($F224))="empty"))</f>
        <v/>
      </c>
      <c r="R224" s="36" t="str">
        <f aca="false">IF($B224="","",OR(ISNUMBER(SEARCH("repair",$G224)),ISNUMBER(SEARCH("not working",$G224))))</f>
        <v/>
      </c>
      <c r="S224" s="36" t="str">
        <f aca="false">IF(AND($B224&lt;&gt;"",$M224=TRUE(),$L224=FALSE(),$Q224=FALSE()),COUNTIFS($M$3:$M224,TRUE(),$L$3:$L224,FALSE(),$Q$3:$Q224,FALSE()),"")</f>
        <v/>
      </c>
      <c r="T224" s="36" t="str">
        <f aca="false">IF($B224="","",IF($Q224=TRUE(),"U1",IF($L224=TRUE(),"S1",IF($M224=TRUE(),"D"&amp;MIN(4,INT(($S224-1)/DisplayCapacity)+1),IF($N224=TRUE(),"K1",IF($O224=TRUE(),"P1",IF($P224=TRUE(),"U1",IF($R224=TRUE(),"U1","W"))))))))</f>
        <v/>
      </c>
      <c r="U224" s="36" t="str">
        <f aca="false">IF($T224="","",$T224&amp;"-"&amp;COUNTIF($T$3:T224,$T224))</f>
        <v/>
      </c>
      <c r="V224" s="36" t="str">
        <f aca="false">IF($B224="","",_xlfn.TEXTJOIN(" | ",TRUE(),IF($Q224=TRUE(),"Empty box - no physical device, verify status",""),IF(AND($P224=TRUE(),$L224=FALSE(),$M224=FALSE(),$N224=FALSE(),$O224=FALSE(),$Q224=FALSE()),"Speaker fault only - needs manual box assignment",""),IF(AND($R224=TRUE(),$L224=FALSE(),$M224=FALSE(),$N224=FALSE(),$O224=FALSE(),$P224=FALSE(),$Q224=FALSE()),"No fault detail given - needs technician inspection",""),IF(AND(COUNTIF($F$3:$F$252,$F224)&gt;1,LOWER(TRIM($F224))&lt;&gt;"empty"),"Duplicate Serial No - verify device identity",""),IF((--$L224+--$M224+--$N224+--$O224+--$P224)&gt;1,"Multiple fault types detected - review full details before repair","")))</f>
        <v/>
      </c>
      <c r="W224" s="36"/>
      <c r="X224" s="36"/>
    </row>
    <row r="225" customFormat="false" ht="15" hidden="false" customHeight="true" outlineLevel="0" collapsed="false">
      <c r="A225" s="36" t="str">
        <f aca="false">IF($B225="","",223)</f>
        <v/>
      </c>
      <c r="B225" s="37"/>
      <c r="C225" s="36"/>
      <c r="D225" s="36" t="str">
        <f aca="false">IF($B225="","",IFERROR(VLOOKUP(TRIM($C225),ModelMap,2,FALSE()),TRIM($C225)))</f>
        <v/>
      </c>
      <c r="E225" s="36"/>
      <c r="F225" s="36"/>
      <c r="G225" s="36"/>
      <c r="H225" s="36"/>
      <c r="I225" s="36"/>
      <c r="J225" s="36"/>
      <c r="K225" s="36" t="str">
        <f aca="false">IF($B225="","",LOWER(TRIM($G225)&amp;" | "&amp;TRIM($H225)&amp;" | "&amp;TRIM($I225)))</f>
        <v/>
      </c>
      <c r="L225" s="36" t="str">
        <f aca="false">IF($B225="","",SUMPRODUCT(--ISNUMBER(SEARCH(SensorKW,$K225)))&gt;0)</f>
        <v/>
      </c>
      <c r="M225" s="36" t="str">
        <f aca="false">IF($B225="","",SUMPRODUCT(--ISNUMBER(SEARCH(DisplayKW,$K225)))&gt;0)</f>
        <v/>
      </c>
      <c r="N225" s="36" t="str">
        <f aca="false">IF($B225="","",SUMPRODUCT(--ISNUMBER(SEARCH(KeypadKW,$K225)))&gt;0)</f>
        <v/>
      </c>
      <c r="O225" s="36" t="str">
        <f aca="false">IF($B225="","",SUMPRODUCT(--ISNUMBER(SEARCH(PowerKW,$K225)))&gt;0)</f>
        <v/>
      </c>
      <c r="P225" s="36" t="str">
        <f aca="false">IF($B225="","",SUMPRODUCT(--ISNUMBER(SEARCH(SpeakerKW,$K225)))&gt;0)</f>
        <v/>
      </c>
      <c r="Q225" s="36" t="str">
        <f aca="false">IF($B225="","",OR(SUMPRODUCT(--ISNUMBER(SEARCH(EmptyKW,$K225)))&gt;0,LOWER(TRIM($F225))="empty"))</f>
        <v/>
      </c>
      <c r="R225" s="36" t="str">
        <f aca="false">IF($B225="","",OR(ISNUMBER(SEARCH("repair",$G225)),ISNUMBER(SEARCH("not working",$G225))))</f>
        <v/>
      </c>
      <c r="S225" s="36" t="str">
        <f aca="false">IF(AND($B225&lt;&gt;"",$M225=TRUE(),$L225=FALSE(),$Q225=FALSE()),COUNTIFS($M$3:$M225,TRUE(),$L$3:$L225,FALSE(),$Q$3:$Q225,FALSE()),"")</f>
        <v/>
      </c>
      <c r="T225" s="36" t="str">
        <f aca="false">IF($B225="","",IF($Q225=TRUE(),"U1",IF($L225=TRUE(),"S1",IF($M225=TRUE(),"D"&amp;MIN(4,INT(($S225-1)/DisplayCapacity)+1),IF($N225=TRUE(),"K1",IF($O225=TRUE(),"P1",IF($P225=TRUE(),"U1",IF($R225=TRUE(),"U1","W"))))))))</f>
        <v/>
      </c>
      <c r="U225" s="36" t="str">
        <f aca="false">IF($T225="","",$T225&amp;"-"&amp;COUNTIF($T$3:T225,$T225))</f>
        <v/>
      </c>
      <c r="V225" s="36" t="str">
        <f aca="false">IF($B225="","",_xlfn.TEXTJOIN(" | ",TRUE(),IF($Q225=TRUE(),"Empty box - no physical device, verify status",""),IF(AND($P225=TRUE(),$L225=FALSE(),$M225=FALSE(),$N225=FALSE(),$O225=FALSE(),$Q225=FALSE()),"Speaker fault only - needs manual box assignment",""),IF(AND($R225=TRUE(),$L225=FALSE(),$M225=FALSE(),$N225=FALSE(),$O225=FALSE(),$P225=FALSE(),$Q225=FALSE()),"No fault detail given - needs technician inspection",""),IF(AND(COUNTIF($F$3:$F$252,$F225)&gt;1,LOWER(TRIM($F225))&lt;&gt;"empty"),"Duplicate Serial No - verify device identity",""),IF((--$L225+--$M225+--$N225+--$O225+--$P225)&gt;1,"Multiple fault types detected - review full details before repair","")))</f>
        <v/>
      </c>
      <c r="W225" s="36"/>
      <c r="X225" s="36"/>
    </row>
    <row r="226" customFormat="false" ht="15" hidden="false" customHeight="true" outlineLevel="0" collapsed="false">
      <c r="A226" s="36" t="str">
        <f aca="false">IF($B226="","",224)</f>
        <v/>
      </c>
      <c r="B226" s="37"/>
      <c r="C226" s="36"/>
      <c r="D226" s="36" t="str">
        <f aca="false">IF($B226="","",IFERROR(VLOOKUP(TRIM($C226),ModelMap,2,FALSE()),TRIM($C226)))</f>
        <v/>
      </c>
      <c r="E226" s="36"/>
      <c r="F226" s="36"/>
      <c r="G226" s="36"/>
      <c r="H226" s="36"/>
      <c r="I226" s="36"/>
      <c r="J226" s="36"/>
      <c r="K226" s="36" t="str">
        <f aca="false">IF($B226="","",LOWER(TRIM($G226)&amp;" | "&amp;TRIM($H226)&amp;" | "&amp;TRIM($I226)))</f>
        <v/>
      </c>
      <c r="L226" s="36" t="str">
        <f aca="false">IF($B226="","",SUMPRODUCT(--ISNUMBER(SEARCH(SensorKW,$K226)))&gt;0)</f>
        <v/>
      </c>
      <c r="M226" s="36" t="str">
        <f aca="false">IF($B226="","",SUMPRODUCT(--ISNUMBER(SEARCH(DisplayKW,$K226)))&gt;0)</f>
        <v/>
      </c>
      <c r="N226" s="36" t="str">
        <f aca="false">IF($B226="","",SUMPRODUCT(--ISNUMBER(SEARCH(KeypadKW,$K226)))&gt;0)</f>
        <v/>
      </c>
      <c r="O226" s="36" t="str">
        <f aca="false">IF($B226="","",SUMPRODUCT(--ISNUMBER(SEARCH(PowerKW,$K226)))&gt;0)</f>
        <v/>
      </c>
      <c r="P226" s="36" t="str">
        <f aca="false">IF($B226="","",SUMPRODUCT(--ISNUMBER(SEARCH(SpeakerKW,$K226)))&gt;0)</f>
        <v/>
      </c>
      <c r="Q226" s="36" t="str">
        <f aca="false">IF($B226="","",OR(SUMPRODUCT(--ISNUMBER(SEARCH(EmptyKW,$K226)))&gt;0,LOWER(TRIM($F226))="empty"))</f>
        <v/>
      </c>
      <c r="R226" s="36" t="str">
        <f aca="false">IF($B226="","",OR(ISNUMBER(SEARCH("repair",$G226)),ISNUMBER(SEARCH("not working",$G226))))</f>
        <v/>
      </c>
      <c r="S226" s="36" t="str">
        <f aca="false">IF(AND($B226&lt;&gt;"",$M226=TRUE(),$L226=FALSE(),$Q226=FALSE()),COUNTIFS($M$3:$M226,TRUE(),$L$3:$L226,FALSE(),$Q$3:$Q226,FALSE()),"")</f>
        <v/>
      </c>
      <c r="T226" s="36" t="str">
        <f aca="false">IF($B226="","",IF($Q226=TRUE(),"U1",IF($L226=TRUE(),"S1",IF($M226=TRUE(),"D"&amp;MIN(4,INT(($S226-1)/DisplayCapacity)+1),IF($N226=TRUE(),"K1",IF($O226=TRUE(),"P1",IF($P226=TRUE(),"U1",IF($R226=TRUE(),"U1","W"))))))))</f>
        <v/>
      </c>
      <c r="U226" s="36" t="str">
        <f aca="false">IF($T226="","",$T226&amp;"-"&amp;COUNTIF($T$3:T226,$T226))</f>
        <v/>
      </c>
      <c r="V226" s="36" t="str">
        <f aca="false">IF($B226="","",_xlfn.TEXTJOIN(" | ",TRUE(),IF($Q226=TRUE(),"Empty box - no physical device, verify status",""),IF(AND($P226=TRUE(),$L226=FALSE(),$M226=FALSE(),$N226=FALSE(),$O226=FALSE(),$Q226=FALSE()),"Speaker fault only - needs manual box assignment",""),IF(AND($R226=TRUE(),$L226=FALSE(),$M226=FALSE(),$N226=FALSE(),$O226=FALSE(),$P226=FALSE(),$Q226=FALSE()),"No fault detail given - needs technician inspection",""),IF(AND(COUNTIF($F$3:$F$252,$F226)&gt;1,LOWER(TRIM($F226))&lt;&gt;"empty"),"Duplicate Serial No - verify device identity",""),IF((--$L226+--$M226+--$N226+--$O226+--$P226)&gt;1,"Multiple fault types detected - review full details before repair","")))</f>
        <v/>
      </c>
      <c r="W226" s="36"/>
      <c r="X226" s="36"/>
    </row>
    <row r="227" customFormat="false" ht="15" hidden="false" customHeight="true" outlineLevel="0" collapsed="false">
      <c r="A227" s="36" t="str">
        <f aca="false">IF($B227="","",225)</f>
        <v/>
      </c>
      <c r="B227" s="37"/>
      <c r="C227" s="36"/>
      <c r="D227" s="36" t="str">
        <f aca="false">IF($B227="","",IFERROR(VLOOKUP(TRIM($C227),ModelMap,2,FALSE()),TRIM($C227)))</f>
        <v/>
      </c>
      <c r="E227" s="36"/>
      <c r="F227" s="36"/>
      <c r="G227" s="36"/>
      <c r="H227" s="36"/>
      <c r="I227" s="36"/>
      <c r="J227" s="36"/>
      <c r="K227" s="36" t="str">
        <f aca="false">IF($B227="","",LOWER(TRIM($G227)&amp;" | "&amp;TRIM($H227)&amp;" | "&amp;TRIM($I227)))</f>
        <v/>
      </c>
      <c r="L227" s="36" t="str">
        <f aca="false">IF($B227="","",SUMPRODUCT(--ISNUMBER(SEARCH(SensorKW,$K227)))&gt;0)</f>
        <v/>
      </c>
      <c r="M227" s="36" t="str">
        <f aca="false">IF($B227="","",SUMPRODUCT(--ISNUMBER(SEARCH(DisplayKW,$K227)))&gt;0)</f>
        <v/>
      </c>
      <c r="N227" s="36" t="str">
        <f aca="false">IF($B227="","",SUMPRODUCT(--ISNUMBER(SEARCH(KeypadKW,$K227)))&gt;0)</f>
        <v/>
      </c>
      <c r="O227" s="36" t="str">
        <f aca="false">IF($B227="","",SUMPRODUCT(--ISNUMBER(SEARCH(PowerKW,$K227)))&gt;0)</f>
        <v/>
      </c>
      <c r="P227" s="36" t="str">
        <f aca="false">IF($B227="","",SUMPRODUCT(--ISNUMBER(SEARCH(SpeakerKW,$K227)))&gt;0)</f>
        <v/>
      </c>
      <c r="Q227" s="36" t="str">
        <f aca="false">IF($B227="","",OR(SUMPRODUCT(--ISNUMBER(SEARCH(EmptyKW,$K227)))&gt;0,LOWER(TRIM($F227))="empty"))</f>
        <v/>
      </c>
      <c r="R227" s="36" t="str">
        <f aca="false">IF($B227="","",OR(ISNUMBER(SEARCH("repair",$G227)),ISNUMBER(SEARCH("not working",$G227))))</f>
        <v/>
      </c>
      <c r="S227" s="36" t="str">
        <f aca="false">IF(AND($B227&lt;&gt;"",$M227=TRUE(),$L227=FALSE(),$Q227=FALSE()),COUNTIFS($M$3:$M227,TRUE(),$L$3:$L227,FALSE(),$Q$3:$Q227,FALSE()),"")</f>
        <v/>
      </c>
      <c r="T227" s="36" t="str">
        <f aca="false">IF($B227="","",IF($Q227=TRUE(),"U1",IF($L227=TRUE(),"S1",IF($M227=TRUE(),"D"&amp;MIN(4,INT(($S227-1)/DisplayCapacity)+1),IF($N227=TRUE(),"K1",IF($O227=TRUE(),"P1",IF($P227=TRUE(),"U1",IF($R227=TRUE(),"U1","W"))))))))</f>
        <v/>
      </c>
      <c r="U227" s="36" t="str">
        <f aca="false">IF($T227="","",$T227&amp;"-"&amp;COUNTIF($T$3:T227,$T227))</f>
        <v/>
      </c>
      <c r="V227" s="36" t="str">
        <f aca="false">IF($B227="","",_xlfn.TEXTJOIN(" | ",TRUE(),IF($Q227=TRUE(),"Empty box - no physical device, verify status",""),IF(AND($P227=TRUE(),$L227=FALSE(),$M227=FALSE(),$N227=FALSE(),$O227=FALSE(),$Q227=FALSE()),"Speaker fault only - needs manual box assignment",""),IF(AND($R227=TRUE(),$L227=FALSE(),$M227=FALSE(),$N227=FALSE(),$O227=FALSE(),$P227=FALSE(),$Q227=FALSE()),"No fault detail given - needs technician inspection",""),IF(AND(COUNTIF($F$3:$F$252,$F227)&gt;1,LOWER(TRIM($F227))&lt;&gt;"empty"),"Duplicate Serial No - verify device identity",""),IF((--$L227+--$M227+--$N227+--$O227+--$P227)&gt;1,"Multiple fault types detected - review full details before repair","")))</f>
        <v/>
      </c>
      <c r="W227" s="36"/>
      <c r="X227" s="36"/>
    </row>
    <row r="228" customFormat="false" ht="15" hidden="false" customHeight="true" outlineLevel="0" collapsed="false">
      <c r="A228" s="36" t="str">
        <f aca="false">IF($B228="","",226)</f>
        <v/>
      </c>
      <c r="B228" s="37"/>
      <c r="C228" s="36"/>
      <c r="D228" s="36" t="str">
        <f aca="false">IF($B228="","",IFERROR(VLOOKUP(TRIM($C228),ModelMap,2,FALSE()),TRIM($C228)))</f>
        <v/>
      </c>
      <c r="E228" s="36"/>
      <c r="F228" s="36"/>
      <c r="G228" s="36"/>
      <c r="H228" s="36"/>
      <c r="I228" s="36"/>
      <c r="J228" s="36"/>
      <c r="K228" s="36" t="str">
        <f aca="false">IF($B228="","",LOWER(TRIM($G228)&amp;" | "&amp;TRIM($H228)&amp;" | "&amp;TRIM($I228)))</f>
        <v/>
      </c>
      <c r="L228" s="36" t="str">
        <f aca="false">IF($B228="","",SUMPRODUCT(--ISNUMBER(SEARCH(SensorKW,$K228)))&gt;0)</f>
        <v/>
      </c>
      <c r="M228" s="36" t="str">
        <f aca="false">IF($B228="","",SUMPRODUCT(--ISNUMBER(SEARCH(DisplayKW,$K228)))&gt;0)</f>
        <v/>
      </c>
      <c r="N228" s="36" t="str">
        <f aca="false">IF($B228="","",SUMPRODUCT(--ISNUMBER(SEARCH(KeypadKW,$K228)))&gt;0)</f>
        <v/>
      </c>
      <c r="O228" s="36" t="str">
        <f aca="false">IF($B228="","",SUMPRODUCT(--ISNUMBER(SEARCH(PowerKW,$K228)))&gt;0)</f>
        <v/>
      </c>
      <c r="P228" s="36" t="str">
        <f aca="false">IF($B228="","",SUMPRODUCT(--ISNUMBER(SEARCH(SpeakerKW,$K228)))&gt;0)</f>
        <v/>
      </c>
      <c r="Q228" s="36" t="str">
        <f aca="false">IF($B228="","",OR(SUMPRODUCT(--ISNUMBER(SEARCH(EmptyKW,$K228)))&gt;0,LOWER(TRIM($F228))="empty"))</f>
        <v/>
      </c>
      <c r="R228" s="36" t="str">
        <f aca="false">IF($B228="","",OR(ISNUMBER(SEARCH("repair",$G228)),ISNUMBER(SEARCH("not working",$G228))))</f>
        <v/>
      </c>
      <c r="S228" s="36" t="str">
        <f aca="false">IF(AND($B228&lt;&gt;"",$M228=TRUE(),$L228=FALSE(),$Q228=FALSE()),COUNTIFS($M$3:$M228,TRUE(),$L$3:$L228,FALSE(),$Q$3:$Q228,FALSE()),"")</f>
        <v/>
      </c>
      <c r="T228" s="36" t="str">
        <f aca="false">IF($B228="","",IF($Q228=TRUE(),"U1",IF($L228=TRUE(),"S1",IF($M228=TRUE(),"D"&amp;MIN(4,INT(($S228-1)/DisplayCapacity)+1),IF($N228=TRUE(),"K1",IF($O228=TRUE(),"P1",IF($P228=TRUE(),"U1",IF($R228=TRUE(),"U1","W"))))))))</f>
        <v/>
      </c>
      <c r="U228" s="36" t="str">
        <f aca="false">IF($T228="","",$T228&amp;"-"&amp;COUNTIF($T$3:T228,$T228))</f>
        <v/>
      </c>
      <c r="V228" s="36" t="str">
        <f aca="false">IF($B228="","",_xlfn.TEXTJOIN(" | ",TRUE(),IF($Q228=TRUE(),"Empty box - no physical device, verify status",""),IF(AND($P228=TRUE(),$L228=FALSE(),$M228=FALSE(),$N228=FALSE(),$O228=FALSE(),$Q228=FALSE()),"Speaker fault only - needs manual box assignment",""),IF(AND($R228=TRUE(),$L228=FALSE(),$M228=FALSE(),$N228=FALSE(),$O228=FALSE(),$P228=FALSE(),$Q228=FALSE()),"No fault detail given - needs technician inspection",""),IF(AND(COUNTIF($F$3:$F$252,$F228)&gt;1,LOWER(TRIM($F228))&lt;&gt;"empty"),"Duplicate Serial No - verify device identity",""),IF((--$L228+--$M228+--$N228+--$O228+--$P228)&gt;1,"Multiple fault types detected - review full details before repair","")))</f>
        <v/>
      </c>
      <c r="W228" s="36"/>
      <c r="X228" s="36"/>
    </row>
    <row r="229" customFormat="false" ht="15" hidden="false" customHeight="true" outlineLevel="0" collapsed="false">
      <c r="A229" s="36" t="str">
        <f aca="false">IF($B229="","",227)</f>
        <v/>
      </c>
      <c r="B229" s="37"/>
      <c r="C229" s="36"/>
      <c r="D229" s="36" t="str">
        <f aca="false">IF($B229="","",IFERROR(VLOOKUP(TRIM($C229),ModelMap,2,FALSE()),TRIM($C229)))</f>
        <v/>
      </c>
      <c r="E229" s="36"/>
      <c r="F229" s="36"/>
      <c r="G229" s="36"/>
      <c r="H229" s="36"/>
      <c r="I229" s="36"/>
      <c r="J229" s="36"/>
      <c r="K229" s="36" t="str">
        <f aca="false">IF($B229="","",LOWER(TRIM($G229)&amp;" | "&amp;TRIM($H229)&amp;" | "&amp;TRIM($I229)))</f>
        <v/>
      </c>
      <c r="L229" s="36" t="str">
        <f aca="false">IF($B229="","",SUMPRODUCT(--ISNUMBER(SEARCH(SensorKW,$K229)))&gt;0)</f>
        <v/>
      </c>
      <c r="M229" s="36" t="str">
        <f aca="false">IF($B229="","",SUMPRODUCT(--ISNUMBER(SEARCH(DisplayKW,$K229)))&gt;0)</f>
        <v/>
      </c>
      <c r="N229" s="36" t="str">
        <f aca="false">IF($B229="","",SUMPRODUCT(--ISNUMBER(SEARCH(KeypadKW,$K229)))&gt;0)</f>
        <v/>
      </c>
      <c r="O229" s="36" t="str">
        <f aca="false">IF($B229="","",SUMPRODUCT(--ISNUMBER(SEARCH(PowerKW,$K229)))&gt;0)</f>
        <v/>
      </c>
      <c r="P229" s="36" t="str">
        <f aca="false">IF($B229="","",SUMPRODUCT(--ISNUMBER(SEARCH(SpeakerKW,$K229)))&gt;0)</f>
        <v/>
      </c>
      <c r="Q229" s="36" t="str">
        <f aca="false">IF($B229="","",OR(SUMPRODUCT(--ISNUMBER(SEARCH(EmptyKW,$K229)))&gt;0,LOWER(TRIM($F229))="empty"))</f>
        <v/>
      </c>
      <c r="R229" s="36" t="str">
        <f aca="false">IF($B229="","",OR(ISNUMBER(SEARCH("repair",$G229)),ISNUMBER(SEARCH("not working",$G229))))</f>
        <v/>
      </c>
      <c r="S229" s="36" t="str">
        <f aca="false">IF(AND($B229&lt;&gt;"",$M229=TRUE(),$L229=FALSE(),$Q229=FALSE()),COUNTIFS($M$3:$M229,TRUE(),$L$3:$L229,FALSE(),$Q$3:$Q229,FALSE()),"")</f>
        <v/>
      </c>
      <c r="T229" s="36" t="str">
        <f aca="false">IF($B229="","",IF($Q229=TRUE(),"U1",IF($L229=TRUE(),"S1",IF($M229=TRUE(),"D"&amp;MIN(4,INT(($S229-1)/DisplayCapacity)+1),IF($N229=TRUE(),"K1",IF($O229=TRUE(),"P1",IF($P229=TRUE(),"U1",IF($R229=TRUE(),"U1","W"))))))))</f>
        <v/>
      </c>
      <c r="U229" s="36" t="str">
        <f aca="false">IF($T229="","",$T229&amp;"-"&amp;COUNTIF($T$3:T229,$T229))</f>
        <v/>
      </c>
      <c r="V229" s="36" t="str">
        <f aca="false">IF($B229="","",_xlfn.TEXTJOIN(" | ",TRUE(),IF($Q229=TRUE(),"Empty box - no physical device, verify status",""),IF(AND($P229=TRUE(),$L229=FALSE(),$M229=FALSE(),$N229=FALSE(),$O229=FALSE(),$Q229=FALSE()),"Speaker fault only - needs manual box assignment",""),IF(AND($R229=TRUE(),$L229=FALSE(),$M229=FALSE(),$N229=FALSE(),$O229=FALSE(),$P229=FALSE(),$Q229=FALSE()),"No fault detail given - needs technician inspection",""),IF(AND(COUNTIF($F$3:$F$252,$F229)&gt;1,LOWER(TRIM($F229))&lt;&gt;"empty"),"Duplicate Serial No - verify device identity",""),IF((--$L229+--$M229+--$N229+--$O229+--$P229)&gt;1,"Multiple fault types detected - review full details before repair","")))</f>
        <v/>
      </c>
      <c r="W229" s="36"/>
      <c r="X229" s="36"/>
    </row>
    <row r="230" customFormat="false" ht="15" hidden="false" customHeight="true" outlineLevel="0" collapsed="false">
      <c r="A230" s="36" t="str">
        <f aca="false">IF($B230="","",228)</f>
        <v/>
      </c>
      <c r="B230" s="37"/>
      <c r="C230" s="36"/>
      <c r="D230" s="36" t="str">
        <f aca="false">IF($B230="","",IFERROR(VLOOKUP(TRIM($C230),ModelMap,2,FALSE()),TRIM($C230)))</f>
        <v/>
      </c>
      <c r="E230" s="36"/>
      <c r="F230" s="36"/>
      <c r="G230" s="36"/>
      <c r="H230" s="36"/>
      <c r="I230" s="36"/>
      <c r="J230" s="36"/>
      <c r="K230" s="36" t="str">
        <f aca="false">IF($B230="","",LOWER(TRIM($G230)&amp;" | "&amp;TRIM($H230)&amp;" | "&amp;TRIM($I230)))</f>
        <v/>
      </c>
      <c r="L230" s="36" t="str">
        <f aca="false">IF($B230="","",SUMPRODUCT(--ISNUMBER(SEARCH(SensorKW,$K230)))&gt;0)</f>
        <v/>
      </c>
      <c r="M230" s="36" t="str">
        <f aca="false">IF($B230="","",SUMPRODUCT(--ISNUMBER(SEARCH(DisplayKW,$K230)))&gt;0)</f>
        <v/>
      </c>
      <c r="N230" s="36" t="str">
        <f aca="false">IF($B230="","",SUMPRODUCT(--ISNUMBER(SEARCH(KeypadKW,$K230)))&gt;0)</f>
        <v/>
      </c>
      <c r="O230" s="36" t="str">
        <f aca="false">IF($B230="","",SUMPRODUCT(--ISNUMBER(SEARCH(PowerKW,$K230)))&gt;0)</f>
        <v/>
      </c>
      <c r="P230" s="36" t="str">
        <f aca="false">IF($B230="","",SUMPRODUCT(--ISNUMBER(SEARCH(SpeakerKW,$K230)))&gt;0)</f>
        <v/>
      </c>
      <c r="Q230" s="36" t="str">
        <f aca="false">IF($B230="","",OR(SUMPRODUCT(--ISNUMBER(SEARCH(EmptyKW,$K230)))&gt;0,LOWER(TRIM($F230))="empty"))</f>
        <v/>
      </c>
      <c r="R230" s="36" t="str">
        <f aca="false">IF($B230="","",OR(ISNUMBER(SEARCH("repair",$G230)),ISNUMBER(SEARCH("not working",$G230))))</f>
        <v/>
      </c>
      <c r="S230" s="36" t="str">
        <f aca="false">IF(AND($B230&lt;&gt;"",$M230=TRUE(),$L230=FALSE(),$Q230=FALSE()),COUNTIFS($M$3:$M230,TRUE(),$L$3:$L230,FALSE(),$Q$3:$Q230,FALSE()),"")</f>
        <v/>
      </c>
      <c r="T230" s="36" t="str">
        <f aca="false">IF($B230="","",IF($Q230=TRUE(),"U1",IF($L230=TRUE(),"S1",IF($M230=TRUE(),"D"&amp;MIN(4,INT(($S230-1)/DisplayCapacity)+1),IF($N230=TRUE(),"K1",IF($O230=TRUE(),"P1",IF($P230=TRUE(),"U1",IF($R230=TRUE(),"U1","W"))))))))</f>
        <v/>
      </c>
      <c r="U230" s="36" t="str">
        <f aca="false">IF($T230="","",$T230&amp;"-"&amp;COUNTIF($T$3:T230,$T230))</f>
        <v/>
      </c>
      <c r="V230" s="36" t="str">
        <f aca="false">IF($B230="","",_xlfn.TEXTJOIN(" | ",TRUE(),IF($Q230=TRUE(),"Empty box - no physical device, verify status",""),IF(AND($P230=TRUE(),$L230=FALSE(),$M230=FALSE(),$N230=FALSE(),$O230=FALSE(),$Q230=FALSE()),"Speaker fault only - needs manual box assignment",""),IF(AND($R230=TRUE(),$L230=FALSE(),$M230=FALSE(),$N230=FALSE(),$O230=FALSE(),$P230=FALSE(),$Q230=FALSE()),"No fault detail given - needs technician inspection",""),IF(AND(COUNTIF($F$3:$F$252,$F230)&gt;1,LOWER(TRIM($F230))&lt;&gt;"empty"),"Duplicate Serial No - verify device identity",""),IF((--$L230+--$M230+--$N230+--$O230+--$P230)&gt;1,"Multiple fault types detected - review full details before repair","")))</f>
        <v/>
      </c>
      <c r="W230" s="36"/>
      <c r="X230" s="36"/>
    </row>
    <row r="231" customFormat="false" ht="15" hidden="false" customHeight="true" outlineLevel="0" collapsed="false">
      <c r="A231" s="36" t="str">
        <f aca="false">IF($B231="","",229)</f>
        <v/>
      </c>
      <c r="B231" s="37"/>
      <c r="C231" s="36"/>
      <c r="D231" s="36" t="str">
        <f aca="false">IF($B231="","",IFERROR(VLOOKUP(TRIM($C231),ModelMap,2,FALSE()),TRIM($C231)))</f>
        <v/>
      </c>
      <c r="E231" s="36"/>
      <c r="F231" s="36"/>
      <c r="G231" s="36"/>
      <c r="H231" s="36"/>
      <c r="I231" s="36"/>
      <c r="J231" s="36"/>
      <c r="K231" s="36" t="str">
        <f aca="false">IF($B231="","",LOWER(TRIM($G231)&amp;" | "&amp;TRIM($H231)&amp;" | "&amp;TRIM($I231)))</f>
        <v/>
      </c>
      <c r="L231" s="36" t="str">
        <f aca="false">IF($B231="","",SUMPRODUCT(--ISNUMBER(SEARCH(SensorKW,$K231)))&gt;0)</f>
        <v/>
      </c>
      <c r="M231" s="36" t="str">
        <f aca="false">IF($B231="","",SUMPRODUCT(--ISNUMBER(SEARCH(DisplayKW,$K231)))&gt;0)</f>
        <v/>
      </c>
      <c r="N231" s="36" t="str">
        <f aca="false">IF($B231="","",SUMPRODUCT(--ISNUMBER(SEARCH(KeypadKW,$K231)))&gt;0)</f>
        <v/>
      </c>
      <c r="O231" s="36" t="str">
        <f aca="false">IF($B231="","",SUMPRODUCT(--ISNUMBER(SEARCH(PowerKW,$K231)))&gt;0)</f>
        <v/>
      </c>
      <c r="P231" s="36" t="str">
        <f aca="false">IF($B231="","",SUMPRODUCT(--ISNUMBER(SEARCH(SpeakerKW,$K231)))&gt;0)</f>
        <v/>
      </c>
      <c r="Q231" s="36" t="str">
        <f aca="false">IF($B231="","",OR(SUMPRODUCT(--ISNUMBER(SEARCH(EmptyKW,$K231)))&gt;0,LOWER(TRIM($F231))="empty"))</f>
        <v/>
      </c>
      <c r="R231" s="36" t="str">
        <f aca="false">IF($B231="","",OR(ISNUMBER(SEARCH("repair",$G231)),ISNUMBER(SEARCH("not working",$G231))))</f>
        <v/>
      </c>
      <c r="S231" s="36" t="str">
        <f aca="false">IF(AND($B231&lt;&gt;"",$M231=TRUE(),$L231=FALSE(),$Q231=FALSE()),COUNTIFS($M$3:$M231,TRUE(),$L$3:$L231,FALSE(),$Q$3:$Q231,FALSE()),"")</f>
        <v/>
      </c>
      <c r="T231" s="36" t="str">
        <f aca="false">IF($B231="","",IF($Q231=TRUE(),"U1",IF($L231=TRUE(),"S1",IF($M231=TRUE(),"D"&amp;MIN(4,INT(($S231-1)/DisplayCapacity)+1),IF($N231=TRUE(),"K1",IF($O231=TRUE(),"P1",IF($P231=TRUE(),"U1",IF($R231=TRUE(),"U1","W"))))))))</f>
        <v/>
      </c>
      <c r="U231" s="36" t="str">
        <f aca="false">IF($T231="","",$T231&amp;"-"&amp;COUNTIF($T$3:T231,$T231))</f>
        <v/>
      </c>
      <c r="V231" s="36" t="str">
        <f aca="false">IF($B231="","",_xlfn.TEXTJOIN(" | ",TRUE(),IF($Q231=TRUE(),"Empty box - no physical device, verify status",""),IF(AND($P231=TRUE(),$L231=FALSE(),$M231=FALSE(),$N231=FALSE(),$O231=FALSE(),$Q231=FALSE()),"Speaker fault only - needs manual box assignment",""),IF(AND($R231=TRUE(),$L231=FALSE(),$M231=FALSE(),$N231=FALSE(),$O231=FALSE(),$P231=FALSE(),$Q231=FALSE()),"No fault detail given - needs technician inspection",""),IF(AND(COUNTIF($F$3:$F$252,$F231)&gt;1,LOWER(TRIM($F231))&lt;&gt;"empty"),"Duplicate Serial No - verify device identity",""),IF((--$L231+--$M231+--$N231+--$O231+--$P231)&gt;1,"Multiple fault types detected - review full details before repair","")))</f>
        <v/>
      </c>
      <c r="W231" s="36"/>
      <c r="X231" s="36"/>
    </row>
    <row r="232" customFormat="false" ht="15" hidden="false" customHeight="true" outlineLevel="0" collapsed="false">
      <c r="A232" s="36" t="str">
        <f aca="false">IF($B232="","",230)</f>
        <v/>
      </c>
      <c r="B232" s="37"/>
      <c r="C232" s="36"/>
      <c r="D232" s="36" t="str">
        <f aca="false">IF($B232="","",IFERROR(VLOOKUP(TRIM($C232),ModelMap,2,FALSE()),TRIM($C232)))</f>
        <v/>
      </c>
      <c r="E232" s="36"/>
      <c r="F232" s="36"/>
      <c r="G232" s="36"/>
      <c r="H232" s="36"/>
      <c r="I232" s="36"/>
      <c r="J232" s="36"/>
      <c r="K232" s="36" t="str">
        <f aca="false">IF($B232="","",LOWER(TRIM($G232)&amp;" | "&amp;TRIM($H232)&amp;" | "&amp;TRIM($I232)))</f>
        <v/>
      </c>
      <c r="L232" s="36" t="str">
        <f aca="false">IF($B232="","",SUMPRODUCT(--ISNUMBER(SEARCH(SensorKW,$K232)))&gt;0)</f>
        <v/>
      </c>
      <c r="M232" s="36" t="str">
        <f aca="false">IF($B232="","",SUMPRODUCT(--ISNUMBER(SEARCH(DisplayKW,$K232)))&gt;0)</f>
        <v/>
      </c>
      <c r="N232" s="36" t="str">
        <f aca="false">IF($B232="","",SUMPRODUCT(--ISNUMBER(SEARCH(KeypadKW,$K232)))&gt;0)</f>
        <v/>
      </c>
      <c r="O232" s="36" t="str">
        <f aca="false">IF($B232="","",SUMPRODUCT(--ISNUMBER(SEARCH(PowerKW,$K232)))&gt;0)</f>
        <v/>
      </c>
      <c r="P232" s="36" t="str">
        <f aca="false">IF($B232="","",SUMPRODUCT(--ISNUMBER(SEARCH(SpeakerKW,$K232)))&gt;0)</f>
        <v/>
      </c>
      <c r="Q232" s="36" t="str">
        <f aca="false">IF($B232="","",OR(SUMPRODUCT(--ISNUMBER(SEARCH(EmptyKW,$K232)))&gt;0,LOWER(TRIM($F232))="empty"))</f>
        <v/>
      </c>
      <c r="R232" s="36" t="str">
        <f aca="false">IF($B232="","",OR(ISNUMBER(SEARCH("repair",$G232)),ISNUMBER(SEARCH("not working",$G232))))</f>
        <v/>
      </c>
      <c r="S232" s="36" t="str">
        <f aca="false">IF(AND($B232&lt;&gt;"",$M232=TRUE(),$L232=FALSE(),$Q232=FALSE()),COUNTIFS($M$3:$M232,TRUE(),$L$3:$L232,FALSE(),$Q$3:$Q232,FALSE()),"")</f>
        <v/>
      </c>
      <c r="T232" s="36" t="str">
        <f aca="false">IF($B232="","",IF($Q232=TRUE(),"U1",IF($L232=TRUE(),"S1",IF($M232=TRUE(),"D"&amp;MIN(4,INT(($S232-1)/DisplayCapacity)+1),IF($N232=TRUE(),"K1",IF($O232=TRUE(),"P1",IF($P232=TRUE(),"U1",IF($R232=TRUE(),"U1","W"))))))))</f>
        <v/>
      </c>
      <c r="U232" s="36" t="str">
        <f aca="false">IF($T232="","",$T232&amp;"-"&amp;COUNTIF($T$3:T232,$T232))</f>
        <v/>
      </c>
      <c r="V232" s="36" t="str">
        <f aca="false">IF($B232="","",_xlfn.TEXTJOIN(" | ",TRUE(),IF($Q232=TRUE(),"Empty box - no physical device, verify status",""),IF(AND($P232=TRUE(),$L232=FALSE(),$M232=FALSE(),$N232=FALSE(),$O232=FALSE(),$Q232=FALSE()),"Speaker fault only - needs manual box assignment",""),IF(AND($R232=TRUE(),$L232=FALSE(),$M232=FALSE(),$N232=FALSE(),$O232=FALSE(),$P232=FALSE(),$Q232=FALSE()),"No fault detail given - needs technician inspection",""),IF(AND(COUNTIF($F$3:$F$252,$F232)&gt;1,LOWER(TRIM($F232))&lt;&gt;"empty"),"Duplicate Serial No - verify device identity",""),IF((--$L232+--$M232+--$N232+--$O232+--$P232)&gt;1,"Multiple fault types detected - review full details before repair","")))</f>
        <v/>
      </c>
      <c r="W232" s="36"/>
      <c r="X232" s="36"/>
    </row>
    <row r="233" customFormat="false" ht="15" hidden="false" customHeight="true" outlineLevel="0" collapsed="false">
      <c r="A233" s="36" t="str">
        <f aca="false">IF($B233="","",231)</f>
        <v/>
      </c>
      <c r="B233" s="37"/>
      <c r="C233" s="36"/>
      <c r="D233" s="36" t="str">
        <f aca="false">IF($B233="","",IFERROR(VLOOKUP(TRIM($C233),ModelMap,2,FALSE()),TRIM($C233)))</f>
        <v/>
      </c>
      <c r="E233" s="36"/>
      <c r="F233" s="36"/>
      <c r="G233" s="36"/>
      <c r="H233" s="36"/>
      <c r="I233" s="36"/>
      <c r="J233" s="36"/>
      <c r="K233" s="36" t="str">
        <f aca="false">IF($B233="","",LOWER(TRIM($G233)&amp;" | "&amp;TRIM($H233)&amp;" | "&amp;TRIM($I233)))</f>
        <v/>
      </c>
      <c r="L233" s="36" t="str">
        <f aca="false">IF($B233="","",SUMPRODUCT(--ISNUMBER(SEARCH(SensorKW,$K233)))&gt;0)</f>
        <v/>
      </c>
      <c r="M233" s="36" t="str">
        <f aca="false">IF($B233="","",SUMPRODUCT(--ISNUMBER(SEARCH(DisplayKW,$K233)))&gt;0)</f>
        <v/>
      </c>
      <c r="N233" s="36" t="str">
        <f aca="false">IF($B233="","",SUMPRODUCT(--ISNUMBER(SEARCH(KeypadKW,$K233)))&gt;0)</f>
        <v/>
      </c>
      <c r="O233" s="36" t="str">
        <f aca="false">IF($B233="","",SUMPRODUCT(--ISNUMBER(SEARCH(PowerKW,$K233)))&gt;0)</f>
        <v/>
      </c>
      <c r="P233" s="36" t="str">
        <f aca="false">IF($B233="","",SUMPRODUCT(--ISNUMBER(SEARCH(SpeakerKW,$K233)))&gt;0)</f>
        <v/>
      </c>
      <c r="Q233" s="36" t="str">
        <f aca="false">IF($B233="","",OR(SUMPRODUCT(--ISNUMBER(SEARCH(EmptyKW,$K233)))&gt;0,LOWER(TRIM($F233))="empty"))</f>
        <v/>
      </c>
      <c r="R233" s="36" t="str">
        <f aca="false">IF($B233="","",OR(ISNUMBER(SEARCH("repair",$G233)),ISNUMBER(SEARCH("not working",$G233))))</f>
        <v/>
      </c>
      <c r="S233" s="36" t="str">
        <f aca="false">IF(AND($B233&lt;&gt;"",$M233=TRUE(),$L233=FALSE(),$Q233=FALSE()),COUNTIFS($M$3:$M233,TRUE(),$L$3:$L233,FALSE(),$Q$3:$Q233,FALSE()),"")</f>
        <v/>
      </c>
      <c r="T233" s="36" t="str">
        <f aca="false">IF($B233="","",IF($Q233=TRUE(),"U1",IF($L233=TRUE(),"S1",IF($M233=TRUE(),"D"&amp;MIN(4,INT(($S233-1)/DisplayCapacity)+1),IF($N233=TRUE(),"K1",IF($O233=TRUE(),"P1",IF($P233=TRUE(),"U1",IF($R233=TRUE(),"U1","W"))))))))</f>
        <v/>
      </c>
      <c r="U233" s="36" t="str">
        <f aca="false">IF($T233="","",$T233&amp;"-"&amp;COUNTIF($T$3:T233,$T233))</f>
        <v/>
      </c>
      <c r="V233" s="36" t="str">
        <f aca="false">IF($B233="","",_xlfn.TEXTJOIN(" | ",TRUE(),IF($Q233=TRUE(),"Empty box - no physical device, verify status",""),IF(AND($P233=TRUE(),$L233=FALSE(),$M233=FALSE(),$N233=FALSE(),$O233=FALSE(),$Q233=FALSE()),"Speaker fault only - needs manual box assignment",""),IF(AND($R233=TRUE(),$L233=FALSE(),$M233=FALSE(),$N233=FALSE(),$O233=FALSE(),$P233=FALSE(),$Q233=FALSE()),"No fault detail given - needs technician inspection",""),IF(AND(COUNTIF($F$3:$F$252,$F233)&gt;1,LOWER(TRIM($F233))&lt;&gt;"empty"),"Duplicate Serial No - verify device identity",""),IF((--$L233+--$M233+--$N233+--$O233+--$P233)&gt;1,"Multiple fault types detected - review full details before repair","")))</f>
        <v/>
      </c>
      <c r="W233" s="36"/>
      <c r="X233" s="36"/>
    </row>
    <row r="234" customFormat="false" ht="15" hidden="false" customHeight="true" outlineLevel="0" collapsed="false">
      <c r="A234" s="36" t="str">
        <f aca="false">IF($B234="","",232)</f>
        <v/>
      </c>
      <c r="B234" s="37"/>
      <c r="C234" s="36"/>
      <c r="D234" s="36" t="str">
        <f aca="false">IF($B234="","",IFERROR(VLOOKUP(TRIM($C234),ModelMap,2,FALSE()),TRIM($C234)))</f>
        <v/>
      </c>
      <c r="E234" s="36"/>
      <c r="F234" s="36"/>
      <c r="G234" s="36"/>
      <c r="H234" s="36"/>
      <c r="I234" s="36"/>
      <c r="J234" s="36"/>
      <c r="K234" s="36" t="str">
        <f aca="false">IF($B234="","",LOWER(TRIM($G234)&amp;" | "&amp;TRIM($H234)&amp;" | "&amp;TRIM($I234)))</f>
        <v/>
      </c>
      <c r="L234" s="36" t="str">
        <f aca="false">IF($B234="","",SUMPRODUCT(--ISNUMBER(SEARCH(SensorKW,$K234)))&gt;0)</f>
        <v/>
      </c>
      <c r="M234" s="36" t="str">
        <f aca="false">IF($B234="","",SUMPRODUCT(--ISNUMBER(SEARCH(DisplayKW,$K234)))&gt;0)</f>
        <v/>
      </c>
      <c r="N234" s="36" t="str">
        <f aca="false">IF($B234="","",SUMPRODUCT(--ISNUMBER(SEARCH(KeypadKW,$K234)))&gt;0)</f>
        <v/>
      </c>
      <c r="O234" s="36" t="str">
        <f aca="false">IF($B234="","",SUMPRODUCT(--ISNUMBER(SEARCH(PowerKW,$K234)))&gt;0)</f>
        <v/>
      </c>
      <c r="P234" s="36" t="str">
        <f aca="false">IF($B234="","",SUMPRODUCT(--ISNUMBER(SEARCH(SpeakerKW,$K234)))&gt;0)</f>
        <v/>
      </c>
      <c r="Q234" s="36" t="str">
        <f aca="false">IF($B234="","",OR(SUMPRODUCT(--ISNUMBER(SEARCH(EmptyKW,$K234)))&gt;0,LOWER(TRIM($F234))="empty"))</f>
        <v/>
      </c>
      <c r="R234" s="36" t="str">
        <f aca="false">IF($B234="","",OR(ISNUMBER(SEARCH("repair",$G234)),ISNUMBER(SEARCH("not working",$G234))))</f>
        <v/>
      </c>
      <c r="S234" s="36" t="str">
        <f aca="false">IF(AND($B234&lt;&gt;"",$M234=TRUE(),$L234=FALSE(),$Q234=FALSE()),COUNTIFS($M$3:$M234,TRUE(),$L$3:$L234,FALSE(),$Q$3:$Q234,FALSE()),"")</f>
        <v/>
      </c>
      <c r="T234" s="36" t="str">
        <f aca="false">IF($B234="","",IF($Q234=TRUE(),"U1",IF($L234=TRUE(),"S1",IF($M234=TRUE(),"D"&amp;MIN(4,INT(($S234-1)/DisplayCapacity)+1),IF($N234=TRUE(),"K1",IF($O234=TRUE(),"P1",IF($P234=TRUE(),"U1",IF($R234=TRUE(),"U1","W"))))))))</f>
        <v/>
      </c>
      <c r="U234" s="36" t="str">
        <f aca="false">IF($T234="","",$T234&amp;"-"&amp;COUNTIF($T$3:T234,$T234))</f>
        <v/>
      </c>
      <c r="V234" s="36" t="str">
        <f aca="false">IF($B234="","",_xlfn.TEXTJOIN(" | ",TRUE(),IF($Q234=TRUE(),"Empty box - no physical device, verify status",""),IF(AND($P234=TRUE(),$L234=FALSE(),$M234=FALSE(),$N234=FALSE(),$O234=FALSE(),$Q234=FALSE()),"Speaker fault only - needs manual box assignment",""),IF(AND($R234=TRUE(),$L234=FALSE(),$M234=FALSE(),$N234=FALSE(),$O234=FALSE(),$P234=FALSE(),$Q234=FALSE()),"No fault detail given - needs technician inspection",""),IF(AND(COUNTIF($F$3:$F$252,$F234)&gt;1,LOWER(TRIM($F234))&lt;&gt;"empty"),"Duplicate Serial No - verify device identity",""),IF((--$L234+--$M234+--$N234+--$O234+--$P234)&gt;1,"Multiple fault types detected - review full details before repair","")))</f>
        <v/>
      </c>
      <c r="W234" s="36"/>
      <c r="X234" s="36"/>
    </row>
    <row r="235" customFormat="false" ht="15" hidden="false" customHeight="true" outlineLevel="0" collapsed="false">
      <c r="A235" s="36" t="str">
        <f aca="false">IF($B235="","",233)</f>
        <v/>
      </c>
      <c r="B235" s="37"/>
      <c r="C235" s="36"/>
      <c r="D235" s="36" t="str">
        <f aca="false">IF($B235="","",IFERROR(VLOOKUP(TRIM($C235),ModelMap,2,FALSE()),TRIM($C235)))</f>
        <v/>
      </c>
      <c r="E235" s="36"/>
      <c r="F235" s="36"/>
      <c r="G235" s="36"/>
      <c r="H235" s="36"/>
      <c r="I235" s="36"/>
      <c r="J235" s="36"/>
      <c r="K235" s="36" t="str">
        <f aca="false">IF($B235="","",LOWER(TRIM($G235)&amp;" | "&amp;TRIM($H235)&amp;" | "&amp;TRIM($I235)))</f>
        <v/>
      </c>
      <c r="L235" s="36" t="str">
        <f aca="false">IF($B235="","",SUMPRODUCT(--ISNUMBER(SEARCH(SensorKW,$K235)))&gt;0)</f>
        <v/>
      </c>
      <c r="M235" s="36" t="str">
        <f aca="false">IF($B235="","",SUMPRODUCT(--ISNUMBER(SEARCH(DisplayKW,$K235)))&gt;0)</f>
        <v/>
      </c>
      <c r="N235" s="36" t="str">
        <f aca="false">IF($B235="","",SUMPRODUCT(--ISNUMBER(SEARCH(KeypadKW,$K235)))&gt;0)</f>
        <v/>
      </c>
      <c r="O235" s="36" t="str">
        <f aca="false">IF($B235="","",SUMPRODUCT(--ISNUMBER(SEARCH(PowerKW,$K235)))&gt;0)</f>
        <v/>
      </c>
      <c r="P235" s="36" t="str">
        <f aca="false">IF($B235="","",SUMPRODUCT(--ISNUMBER(SEARCH(SpeakerKW,$K235)))&gt;0)</f>
        <v/>
      </c>
      <c r="Q235" s="36" t="str">
        <f aca="false">IF($B235="","",OR(SUMPRODUCT(--ISNUMBER(SEARCH(EmptyKW,$K235)))&gt;0,LOWER(TRIM($F235))="empty"))</f>
        <v/>
      </c>
      <c r="R235" s="36" t="str">
        <f aca="false">IF($B235="","",OR(ISNUMBER(SEARCH("repair",$G235)),ISNUMBER(SEARCH("not working",$G235))))</f>
        <v/>
      </c>
      <c r="S235" s="36" t="str">
        <f aca="false">IF(AND($B235&lt;&gt;"",$M235=TRUE(),$L235=FALSE(),$Q235=FALSE()),COUNTIFS($M$3:$M235,TRUE(),$L$3:$L235,FALSE(),$Q$3:$Q235,FALSE()),"")</f>
        <v/>
      </c>
      <c r="T235" s="36" t="str">
        <f aca="false">IF($B235="","",IF($Q235=TRUE(),"U1",IF($L235=TRUE(),"S1",IF($M235=TRUE(),"D"&amp;MIN(4,INT(($S235-1)/DisplayCapacity)+1),IF($N235=TRUE(),"K1",IF($O235=TRUE(),"P1",IF($P235=TRUE(),"U1",IF($R235=TRUE(),"U1","W"))))))))</f>
        <v/>
      </c>
      <c r="U235" s="36" t="str">
        <f aca="false">IF($T235="","",$T235&amp;"-"&amp;COUNTIF($T$3:T235,$T235))</f>
        <v/>
      </c>
      <c r="V235" s="36" t="str">
        <f aca="false">IF($B235="","",_xlfn.TEXTJOIN(" | ",TRUE(),IF($Q235=TRUE(),"Empty box - no physical device, verify status",""),IF(AND($P235=TRUE(),$L235=FALSE(),$M235=FALSE(),$N235=FALSE(),$O235=FALSE(),$Q235=FALSE()),"Speaker fault only - needs manual box assignment",""),IF(AND($R235=TRUE(),$L235=FALSE(),$M235=FALSE(),$N235=FALSE(),$O235=FALSE(),$P235=FALSE(),$Q235=FALSE()),"No fault detail given - needs technician inspection",""),IF(AND(COUNTIF($F$3:$F$252,$F235)&gt;1,LOWER(TRIM($F235))&lt;&gt;"empty"),"Duplicate Serial No - verify device identity",""),IF((--$L235+--$M235+--$N235+--$O235+--$P235)&gt;1,"Multiple fault types detected - review full details before repair","")))</f>
        <v/>
      </c>
      <c r="W235" s="36"/>
      <c r="X235" s="36"/>
    </row>
    <row r="236" customFormat="false" ht="15" hidden="false" customHeight="true" outlineLevel="0" collapsed="false">
      <c r="A236" s="36" t="str">
        <f aca="false">IF($B236="","",234)</f>
        <v/>
      </c>
      <c r="B236" s="37"/>
      <c r="C236" s="36"/>
      <c r="D236" s="36" t="str">
        <f aca="false">IF($B236="","",IFERROR(VLOOKUP(TRIM($C236),ModelMap,2,FALSE()),TRIM($C236)))</f>
        <v/>
      </c>
      <c r="E236" s="36"/>
      <c r="F236" s="36"/>
      <c r="G236" s="36"/>
      <c r="H236" s="36"/>
      <c r="I236" s="36"/>
      <c r="J236" s="36"/>
      <c r="K236" s="36" t="str">
        <f aca="false">IF($B236="","",LOWER(TRIM($G236)&amp;" | "&amp;TRIM($H236)&amp;" | "&amp;TRIM($I236)))</f>
        <v/>
      </c>
      <c r="L236" s="36" t="str">
        <f aca="false">IF($B236="","",SUMPRODUCT(--ISNUMBER(SEARCH(SensorKW,$K236)))&gt;0)</f>
        <v/>
      </c>
      <c r="M236" s="36" t="str">
        <f aca="false">IF($B236="","",SUMPRODUCT(--ISNUMBER(SEARCH(DisplayKW,$K236)))&gt;0)</f>
        <v/>
      </c>
      <c r="N236" s="36" t="str">
        <f aca="false">IF($B236="","",SUMPRODUCT(--ISNUMBER(SEARCH(KeypadKW,$K236)))&gt;0)</f>
        <v/>
      </c>
      <c r="O236" s="36" t="str">
        <f aca="false">IF($B236="","",SUMPRODUCT(--ISNUMBER(SEARCH(PowerKW,$K236)))&gt;0)</f>
        <v/>
      </c>
      <c r="P236" s="36" t="str">
        <f aca="false">IF($B236="","",SUMPRODUCT(--ISNUMBER(SEARCH(SpeakerKW,$K236)))&gt;0)</f>
        <v/>
      </c>
      <c r="Q236" s="36" t="str">
        <f aca="false">IF($B236="","",OR(SUMPRODUCT(--ISNUMBER(SEARCH(EmptyKW,$K236)))&gt;0,LOWER(TRIM($F236))="empty"))</f>
        <v/>
      </c>
      <c r="R236" s="36" t="str">
        <f aca="false">IF($B236="","",OR(ISNUMBER(SEARCH("repair",$G236)),ISNUMBER(SEARCH("not working",$G236))))</f>
        <v/>
      </c>
      <c r="S236" s="36" t="str">
        <f aca="false">IF(AND($B236&lt;&gt;"",$M236=TRUE(),$L236=FALSE(),$Q236=FALSE()),COUNTIFS($M$3:$M236,TRUE(),$L$3:$L236,FALSE(),$Q$3:$Q236,FALSE()),"")</f>
        <v/>
      </c>
      <c r="T236" s="36" t="str">
        <f aca="false">IF($B236="","",IF($Q236=TRUE(),"U1",IF($L236=TRUE(),"S1",IF($M236=TRUE(),"D"&amp;MIN(4,INT(($S236-1)/DisplayCapacity)+1),IF($N236=TRUE(),"K1",IF($O236=TRUE(),"P1",IF($P236=TRUE(),"U1",IF($R236=TRUE(),"U1","W"))))))))</f>
        <v/>
      </c>
      <c r="U236" s="36" t="str">
        <f aca="false">IF($T236="","",$T236&amp;"-"&amp;COUNTIF($T$3:T236,$T236))</f>
        <v/>
      </c>
      <c r="V236" s="36" t="str">
        <f aca="false">IF($B236="","",_xlfn.TEXTJOIN(" | ",TRUE(),IF($Q236=TRUE(),"Empty box - no physical device, verify status",""),IF(AND($P236=TRUE(),$L236=FALSE(),$M236=FALSE(),$N236=FALSE(),$O236=FALSE(),$Q236=FALSE()),"Speaker fault only - needs manual box assignment",""),IF(AND($R236=TRUE(),$L236=FALSE(),$M236=FALSE(),$N236=FALSE(),$O236=FALSE(),$P236=FALSE(),$Q236=FALSE()),"No fault detail given - needs technician inspection",""),IF(AND(COUNTIF($F$3:$F$252,$F236)&gt;1,LOWER(TRIM($F236))&lt;&gt;"empty"),"Duplicate Serial No - verify device identity",""),IF((--$L236+--$M236+--$N236+--$O236+--$P236)&gt;1,"Multiple fault types detected - review full details before repair","")))</f>
        <v/>
      </c>
      <c r="W236" s="36"/>
      <c r="X236" s="36"/>
    </row>
    <row r="237" customFormat="false" ht="15" hidden="false" customHeight="true" outlineLevel="0" collapsed="false">
      <c r="A237" s="36" t="str">
        <f aca="false">IF($B237="","",235)</f>
        <v/>
      </c>
      <c r="B237" s="37"/>
      <c r="C237" s="36"/>
      <c r="D237" s="36" t="str">
        <f aca="false">IF($B237="","",IFERROR(VLOOKUP(TRIM($C237),ModelMap,2,FALSE()),TRIM($C237)))</f>
        <v/>
      </c>
      <c r="E237" s="36"/>
      <c r="F237" s="36"/>
      <c r="G237" s="36"/>
      <c r="H237" s="36"/>
      <c r="I237" s="36"/>
      <c r="J237" s="36"/>
      <c r="K237" s="36" t="str">
        <f aca="false">IF($B237="","",LOWER(TRIM($G237)&amp;" | "&amp;TRIM($H237)&amp;" | "&amp;TRIM($I237)))</f>
        <v/>
      </c>
      <c r="L237" s="36" t="str">
        <f aca="false">IF($B237="","",SUMPRODUCT(--ISNUMBER(SEARCH(SensorKW,$K237)))&gt;0)</f>
        <v/>
      </c>
      <c r="M237" s="36" t="str">
        <f aca="false">IF($B237="","",SUMPRODUCT(--ISNUMBER(SEARCH(DisplayKW,$K237)))&gt;0)</f>
        <v/>
      </c>
      <c r="N237" s="36" t="str">
        <f aca="false">IF($B237="","",SUMPRODUCT(--ISNUMBER(SEARCH(KeypadKW,$K237)))&gt;0)</f>
        <v/>
      </c>
      <c r="O237" s="36" t="str">
        <f aca="false">IF($B237="","",SUMPRODUCT(--ISNUMBER(SEARCH(PowerKW,$K237)))&gt;0)</f>
        <v/>
      </c>
      <c r="P237" s="36" t="str">
        <f aca="false">IF($B237="","",SUMPRODUCT(--ISNUMBER(SEARCH(SpeakerKW,$K237)))&gt;0)</f>
        <v/>
      </c>
      <c r="Q237" s="36" t="str">
        <f aca="false">IF($B237="","",OR(SUMPRODUCT(--ISNUMBER(SEARCH(EmptyKW,$K237)))&gt;0,LOWER(TRIM($F237))="empty"))</f>
        <v/>
      </c>
      <c r="R237" s="36" t="str">
        <f aca="false">IF($B237="","",OR(ISNUMBER(SEARCH("repair",$G237)),ISNUMBER(SEARCH("not working",$G237))))</f>
        <v/>
      </c>
      <c r="S237" s="36" t="str">
        <f aca="false">IF(AND($B237&lt;&gt;"",$M237=TRUE(),$L237=FALSE(),$Q237=FALSE()),COUNTIFS($M$3:$M237,TRUE(),$L$3:$L237,FALSE(),$Q$3:$Q237,FALSE()),"")</f>
        <v/>
      </c>
      <c r="T237" s="36" t="str">
        <f aca="false">IF($B237="","",IF($Q237=TRUE(),"U1",IF($L237=TRUE(),"S1",IF($M237=TRUE(),"D"&amp;MIN(4,INT(($S237-1)/DisplayCapacity)+1),IF($N237=TRUE(),"K1",IF($O237=TRUE(),"P1",IF($P237=TRUE(),"U1",IF($R237=TRUE(),"U1","W"))))))))</f>
        <v/>
      </c>
      <c r="U237" s="36" t="str">
        <f aca="false">IF($T237="","",$T237&amp;"-"&amp;COUNTIF($T$3:T237,$T237))</f>
        <v/>
      </c>
      <c r="V237" s="36" t="str">
        <f aca="false">IF($B237="","",_xlfn.TEXTJOIN(" | ",TRUE(),IF($Q237=TRUE(),"Empty box - no physical device, verify status",""),IF(AND($P237=TRUE(),$L237=FALSE(),$M237=FALSE(),$N237=FALSE(),$O237=FALSE(),$Q237=FALSE()),"Speaker fault only - needs manual box assignment",""),IF(AND($R237=TRUE(),$L237=FALSE(),$M237=FALSE(),$N237=FALSE(),$O237=FALSE(),$P237=FALSE(),$Q237=FALSE()),"No fault detail given - needs technician inspection",""),IF(AND(COUNTIF($F$3:$F$252,$F237)&gt;1,LOWER(TRIM($F237))&lt;&gt;"empty"),"Duplicate Serial No - verify device identity",""),IF((--$L237+--$M237+--$N237+--$O237+--$P237)&gt;1,"Multiple fault types detected - review full details before repair","")))</f>
        <v/>
      </c>
      <c r="W237" s="36"/>
      <c r="X237" s="36"/>
    </row>
    <row r="238" customFormat="false" ht="15" hidden="false" customHeight="true" outlineLevel="0" collapsed="false">
      <c r="A238" s="36" t="str">
        <f aca="false">IF($B238="","",236)</f>
        <v/>
      </c>
      <c r="B238" s="37"/>
      <c r="C238" s="36"/>
      <c r="D238" s="36" t="str">
        <f aca="false">IF($B238="","",IFERROR(VLOOKUP(TRIM($C238),ModelMap,2,FALSE()),TRIM($C238)))</f>
        <v/>
      </c>
      <c r="E238" s="36"/>
      <c r="F238" s="36"/>
      <c r="G238" s="36"/>
      <c r="H238" s="36"/>
      <c r="I238" s="36"/>
      <c r="J238" s="36"/>
      <c r="K238" s="36" t="str">
        <f aca="false">IF($B238="","",LOWER(TRIM($G238)&amp;" | "&amp;TRIM($H238)&amp;" | "&amp;TRIM($I238)))</f>
        <v/>
      </c>
      <c r="L238" s="36" t="str">
        <f aca="false">IF($B238="","",SUMPRODUCT(--ISNUMBER(SEARCH(SensorKW,$K238)))&gt;0)</f>
        <v/>
      </c>
      <c r="M238" s="36" t="str">
        <f aca="false">IF($B238="","",SUMPRODUCT(--ISNUMBER(SEARCH(DisplayKW,$K238)))&gt;0)</f>
        <v/>
      </c>
      <c r="N238" s="36" t="str">
        <f aca="false">IF($B238="","",SUMPRODUCT(--ISNUMBER(SEARCH(KeypadKW,$K238)))&gt;0)</f>
        <v/>
      </c>
      <c r="O238" s="36" t="str">
        <f aca="false">IF($B238="","",SUMPRODUCT(--ISNUMBER(SEARCH(PowerKW,$K238)))&gt;0)</f>
        <v/>
      </c>
      <c r="P238" s="36" t="str">
        <f aca="false">IF($B238="","",SUMPRODUCT(--ISNUMBER(SEARCH(SpeakerKW,$K238)))&gt;0)</f>
        <v/>
      </c>
      <c r="Q238" s="36" t="str">
        <f aca="false">IF($B238="","",OR(SUMPRODUCT(--ISNUMBER(SEARCH(EmptyKW,$K238)))&gt;0,LOWER(TRIM($F238))="empty"))</f>
        <v/>
      </c>
      <c r="R238" s="36" t="str">
        <f aca="false">IF($B238="","",OR(ISNUMBER(SEARCH("repair",$G238)),ISNUMBER(SEARCH("not working",$G238))))</f>
        <v/>
      </c>
      <c r="S238" s="36" t="str">
        <f aca="false">IF(AND($B238&lt;&gt;"",$M238=TRUE(),$L238=FALSE(),$Q238=FALSE()),COUNTIFS($M$3:$M238,TRUE(),$L$3:$L238,FALSE(),$Q$3:$Q238,FALSE()),"")</f>
        <v/>
      </c>
      <c r="T238" s="36" t="str">
        <f aca="false">IF($B238="","",IF($Q238=TRUE(),"U1",IF($L238=TRUE(),"S1",IF($M238=TRUE(),"D"&amp;MIN(4,INT(($S238-1)/DisplayCapacity)+1),IF($N238=TRUE(),"K1",IF($O238=TRUE(),"P1",IF($P238=TRUE(),"U1",IF($R238=TRUE(),"U1","W"))))))))</f>
        <v/>
      </c>
      <c r="U238" s="36" t="str">
        <f aca="false">IF($T238="","",$T238&amp;"-"&amp;COUNTIF($T$3:T238,$T238))</f>
        <v/>
      </c>
      <c r="V238" s="36" t="str">
        <f aca="false">IF($B238="","",_xlfn.TEXTJOIN(" | ",TRUE(),IF($Q238=TRUE(),"Empty box - no physical device, verify status",""),IF(AND($P238=TRUE(),$L238=FALSE(),$M238=FALSE(),$N238=FALSE(),$O238=FALSE(),$Q238=FALSE()),"Speaker fault only - needs manual box assignment",""),IF(AND($R238=TRUE(),$L238=FALSE(),$M238=FALSE(),$N238=FALSE(),$O238=FALSE(),$P238=FALSE(),$Q238=FALSE()),"No fault detail given - needs technician inspection",""),IF(AND(COUNTIF($F$3:$F$252,$F238)&gt;1,LOWER(TRIM($F238))&lt;&gt;"empty"),"Duplicate Serial No - verify device identity",""),IF((--$L238+--$M238+--$N238+--$O238+--$P238)&gt;1,"Multiple fault types detected - review full details before repair","")))</f>
        <v/>
      </c>
      <c r="W238" s="36"/>
      <c r="X238" s="36"/>
    </row>
    <row r="239" customFormat="false" ht="15" hidden="false" customHeight="true" outlineLevel="0" collapsed="false">
      <c r="A239" s="36" t="str">
        <f aca="false">IF($B239="","",237)</f>
        <v/>
      </c>
      <c r="B239" s="37"/>
      <c r="C239" s="36"/>
      <c r="D239" s="36" t="str">
        <f aca="false">IF($B239="","",IFERROR(VLOOKUP(TRIM($C239),ModelMap,2,FALSE()),TRIM($C239)))</f>
        <v/>
      </c>
      <c r="E239" s="36"/>
      <c r="F239" s="36"/>
      <c r="G239" s="36"/>
      <c r="H239" s="36"/>
      <c r="I239" s="36"/>
      <c r="J239" s="36"/>
      <c r="K239" s="36" t="str">
        <f aca="false">IF($B239="","",LOWER(TRIM($G239)&amp;" | "&amp;TRIM($H239)&amp;" | "&amp;TRIM($I239)))</f>
        <v/>
      </c>
      <c r="L239" s="36" t="str">
        <f aca="false">IF($B239="","",SUMPRODUCT(--ISNUMBER(SEARCH(SensorKW,$K239)))&gt;0)</f>
        <v/>
      </c>
      <c r="M239" s="36" t="str">
        <f aca="false">IF($B239="","",SUMPRODUCT(--ISNUMBER(SEARCH(DisplayKW,$K239)))&gt;0)</f>
        <v/>
      </c>
      <c r="N239" s="36" t="str">
        <f aca="false">IF($B239="","",SUMPRODUCT(--ISNUMBER(SEARCH(KeypadKW,$K239)))&gt;0)</f>
        <v/>
      </c>
      <c r="O239" s="36" t="str">
        <f aca="false">IF($B239="","",SUMPRODUCT(--ISNUMBER(SEARCH(PowerKW,$K239)))&gt;0)</f>
        <v/>
      </c>
      <c r="P239" s="36" t="str">
        <f aca="false">IF($B239="","",SUMPRODUCT(--ISNUMBER(SEARCH(SpeakerKW,$K239)))&gt;0)</f>
        <v/>
      </c>
      <c r="Q239" s="36" t="str">
        <f aca="false">IF($B239="","",OR(SUMPRODUCT(--ISNUMBER(SEARCH(EmptyKW,$K239)))&gt;0,LOWER(TRIM($F239))="empty"))</f>
        <v/>
      </c>
      <c r="R239" s="36" t="str">
        <f aca="false">IF($B239="","",OR(ISNUMBER(SEARCH("repair",$G239)),ISNUMBER(SEARCH("not working",$G239))))</f>
        <v/>
      </c>
      <c r="S239" s="36" t="str">
        <f aca="false">IF(AND($B239&lt;&gt;"",$M239=TRUE(),$L239=FALSE(),$Q239=FALSE()),COUNTIFS($M$3:$M239,TRUE(),$L$3:$L239,FALSE(),$Q$3:$Q239,FALSE()),"")</f>
        <v/>
      </c>
      <c r="T239" s="36" t="str">
        <f aca="false">IF($B239="","",IF($Q239=TRUE(),"U1",IF($L239=TRUE(),"S1",IF($M239=TRUE(),"D"&amp;MIN(4,INT(($S239-1)/DisplayCapacity)+1),IF($N239=TRUE(),"K1",IF($O239=TRUE(),"P1",IF($P239=TRUE(),"U1",IF($R239=TRUE(),"U1","W"))))))))</f>
        <v/>
      </c>
      <c r="U239" s="36" t="str">
        <f aca="false">IF($T239="","",$T239&amp;"-"&amp;COUNTIF($T$3:T239,$T239))</f>
        <v/>
      </c>
      <c r="V239" s="36" t="str">
        <f aca="false">IF($B239="","",_xlfn.TEXTJOIN(" | ",TRUE(),IF($Q239=TRUE(),"Empty box - no physical device, verify status",""),IF(AND($P239=TRUE(),$L239=FALSE(),$M239=FALSE(),$N239=FALSE(),$O239=FALSE(),$Q239=FALSE()),"Speaker fault only - needs manual box assignment",""),IF(AND($R239=TRUE(),$L239=FALSE(),$M239=FALSE(),$N239=FALSE(),$O239=FALSE(),$P239=FALSE(),$Q239=FALSE()),"No fault detail given - needs technician inspection",""),IF(AND(COUNTIF($F$3:$F$252,$F239)&gt;1,LOWER(TRIM($F239))&lt;&gt;"empty"),"Duplicate Serial No - verify device identity",""),IF((--$L239+--$M239+--$N239+--$O239+--$P239)&gt;1,"Multiple fault types detected - review full details before repair","")))</f>
        <v/>
      </c>
      <c r="W239" s="36"/>
      <c r="X239" s="36"/>
    </row>
    <row r="240" customFormat="false" ht="15" hidden="false" customHeight="true" outlineLevel="0" collapsed="false">
      <c r="A240" s="36" t="str">
        <f aca="false">IF($B240="","",238)</f>
        <v/>
      </c>
      <c r="B240" s="37"/>
      <c r="C240" s="36"/>
      <c r="D240" s="36" t="str">
        <f aca="false">IF($B240="","",IFERROR(VLOOKUP(TRIM($C240),ModelMap,2,FALSE()),TRIM($C240)))</f>
        <v/>
      </c>
      <c r="E240" s="36"/>
      <c r="F240" s="36"/>
      <c r="G240" s="36"/>
      <c r="H240" s="36"/>
      <c r="I240" s="36"/>
      <c r="J240" s="36"/>
      <c r="K240" s="36" t="str">
        <f aca="false">IF($B240="","",LOWER(TRIM($G240)&amp;" | "&amp;TRIM($H240)&amp;" | "&amp;TRIM($I240)))</f>
        <v/>
      </c>
      <c r="L240" s="36" t="str">
        <f aca="false">IF($B240="","",SUMPRODUCT(--ISNUMBER(SEARCH(SensorKW,$K240)))&gt;0)</f>
        <v/>
      </c>
      <c r="M240" s="36" t="str">
        <f aca="false">IF($B240="","",SUMPRODUCT(--ISNUMBER(SEARCH(DisplayKW,$K240)))&gt;0)</f>
        <v/>
      </c>
      <c r="N240" s="36" t="str">
        <f aca="false">IF($B240="","",SUMPRODUCT(--ISNUMBER(SEARCH(KeypadKW,$K240)))&gt;0)</f>
        <v/>
      </c>
      <c r="O240" s="36" t="str">
        <f aca="false">IF($B240="","",SUMPRODUCT(--ISNUMBER(SEARCH(PowerKW,$K240)))&gt;0)</f>
        <v/>
      </c>
      <c r="P240" s="36" t="str">
        <f aca="false">IF($B240="","",SUMPRODUCT(--ISNUMBER(SEARCH(SpeakerKW,$K240)))&gt;0)</f>
        <v/>
      </c>
      <c r="Q240" s="36" t="str">
        <f aca="false">IF($B240="","",OR(SUMPRODUCT(--ISNUMBER(SEARCH(EmptyKW,$K240)))&gt;0,LOWER(TRIM($F240))="empty"))</f>
        <v/>
      </c>
      <c r="R240" s="36" t="str">
        <f aca="false">IF($B240="","",OR(ISNUMBER(SEARCH("repair",$G240)),ISNUMBER(SEARCH("not working",$G240))))</f>
        <v/>
      </c>
      <c r="S240" s="36" t="str">
        <f aca="false">IF(AND($B240&lt;&gt;"",$M240=TRUE(),$L240=FALSE(),$Q240=FALSE()),COUNTIFS($M$3:$M240,TRUE(),$L$3:$L240,FALSE(),$Q$3:$Q240,FALSE()),"")</f>
        <v/>
      </c>
      <c r="T240" s="36" t="str">
        <f aca="false">IF($B240="","",IF($Q240=TRUE(),"U1",IF($L240=TRUE(),"S1",IF($M240=TRUE(),"D"&amp;MIN(4,INT(($S240-1)/DisplayCapacity)+1),IF($N240=TRUE(),"K1",IF($O240=TRUE(),"P1",IF($P240=TRUE(),"U1",IF($R240=TRUE(),"U1","W"))))))))</f>
        <v/>
      </c>
      <c r="U240" s="36" t="str">
        <f aca="false">IF($T240="","",$T240&amp;"-"&amp;COUNTIF($T$3:T240,$T240))</f>
        <v/>
      </c>
      <c r="V240" s="36" t="str">
        <f aca="false">IF($B240="","",_xlfn.TEXTJOIN(" | ",TRUE(),IF($Q240=TRUE(),"Empty box - no physical device, verify status",""),IF(AND($P240=TRUE(),$L240=FALSE(),$M240=FALSE(),$N240=FALSE(),$O240=FALSE(),$Q240=FALSE()),"Speaker fault only - needs manual box assignment",""),IF(AND($R240=TRUE(),$L240=FALSE(),$M240=FALSE(),$N240=FALSE(),$O240=FALSE(),$P240=FALSE(),$Q240=FALSE()),"No fault detail given - needs technician inspection",""),IF(AND(COUNTIF($F$3:$F$252,$F240)&gt;1,LOWER(TRIM($F240))&lt;&gt;"empty"),"Duplicate Serial No - verify device identity",""),IF((--$L240+--$M240+--$N240+--$O240+--$P240)&gt;1,"Multiple fault types detected - review full details before repair","")))</f>
        <v/>
      </c>
      <c r="W240" s="36"/>
      <c r="X240" s="36"/>
    </row>
    <row r="241" customFormat="false" ht="15" hidden="false" customHeight="true" outlineLevel="0" collapsed="false">
      <c r="A241" s="36" t="str">
        <f aca="false">IF($B241="","",239)</f>
        <v/>
      </c>
      <c r="B241" s="37"/>
      <c r="C241" s="36"/>
      <c r="D241" s="36" t="str">
        <f aca="false">IF($B241="","",IFERROR(VLOOKUP(TRIM($C241),ModelMap,2,FALSE()),TRIM($C241)))</f>
        <v/>
      </c>
      <c r="E241" s="36"/>
      <c r="F241" s="36"/>
      <c r="G241" s="36"/>
      <c r="H241" s="36"/>
      <c r="I241" s="36"/>
      <c r="J241" s="36"/>
      <c r="K241" s="36" t="str">
        <f aca="false">IF($B241="","",LOWER(TRIM($G241)&amp;" | "&amp;TRIM($H241)&amp;" | "&amp;TRIM($I241)))</f>
        <v/>
      </c>
      <c r="L241" s="36" t="str">
        <f aca="false">IF($B241="","",SUMPRODUCT(--ISNUMBER(SEARCH(SensorKW,$K241)))&gt;0)</f>
        <v/>
      </c>
      <c r="M241" s="36" t="str">
        <f aca="false">IF($B241="","",SUMPRODUCT(--ISNUMBER(SEARCH(DisplayKW,$K241)))&gt;0)</f>
        <v/>
      </c>
      <c r="N241" s="36" t="str">
        <f aca="false">IF($B241="","",SUMPRODUCT(--ISNUMBER(SEARCH(KeypadKW,$K241)))&gt;0)</f>
        <v/>
      </c>
      <c r="O241" s="36" t="str">
        <f aca="false">IF($B241="","",SUMPRODUCT(--ISNUMBER(SEARCH(PowerKW,$K241)))&gt;0)</f>
        <v/>
      </c>
      <c r="P241" s="36" t="str">
        <f aca="false">IF($B241="","",SUMPRODUCT(--ISNUMBER(SEARCH(SpeakerKW,$K241)))&gt;0)</f>
        <v/>
      </c>
      <c r="Q241" s="36" t="str">
        <f aca="false">IF($B241="","",OR(SUMPRODUCT(--ISNUMBER(SEARCH(EmptyKW,$K241)))&gt;0,LOWER(TRIM($F241))="empty"))</f>
        <v/>
      </c>
      <c r="R241" s="36" t="str">
        <f aca="false">IF($B241="","",OR(ISNUMBER(SEARCH("repair",$G241)),ISNUMBER(SEARCH("not working",$G241))))</f>
        <v/>
      </c>
      <c r="S241" s="36" t="str">
        <f aca="false">IF(AND($B241&lt;&gt;"",$M241=TRUE(),$L241=FALSE(),$Q241=FALSE()),COUNTIFS($M$3:$M241,TRUE(),$L$3:$L241,FALSE(),$Q$3:$Q241,FALSE()),"")</f>
        <v/>
      </c>
      <c r="T241" s="36" t="str">
        <f aca="false">IF($B241="","",IF($Q241=TRUE(),"U1",IF($L241=TRUE(),"S1",IF($M241=TRUE(),"D"&amp;MIN(4,INT(($S241-1)/DisplayCapacity)+1),IF($N241=TRUE(),"K1",IF($O241=TRUE(),"P1",IF($P241=TRUE(),"U1",IF($R241=TRUE(),"U1","W"))))))))</f>
        <v/>
      </c>
      <c r="U241" s="36" t="str">
        <f aca="false">IF($T241="","",$T241&amp;"-"&amp;COUNTIF($T$3:T241,$T241))</f>
        <v/>
      </c>
      <c r="V241" s="36" t="str">
        <f aca="false">IF($B241="","",_xlfn.TEXTJOIN(" | ",TRUE(),IF($Q241=TRUE(),"Empty box - no physical device, verify status",""),IF(AND($P241=TRUE(),$L241=FALSE(),$M241=FALSE(),$N241=FALSE(),$O241=FALSE(),$Q241=FALSE()),"Speaker fault only - needs manual box assignment",""),IF(AND($R241=TRUE(),$L241=FALSE(),$M241=FALSE(),$N241=FALSE(),$O241=FALSE(),$P241=FALSE(),$Q241=FALSE()),"No fault detail given - needs technician inspection",""),IF(AND(COUNTIF($F$3:$F$252,$F241)&gt;1,LOWER(TRIM($F241))&lt;&gt;"empty"),"Duplicate Serial No - verify device identity",""),IF((--$L241+--$M241+--$N241+--$O241+--$P241)&gt;1,"Multiple fault types detected - review full details before repair","")))</f>
        <v/>
      </c>
      <c r="W241" s="36"/>
      <c r="X241" s="36"/>
    </row>
    <row r="242" customFormat="false" ht="15" hidden="false" customHeight="true" outlineLevel="0" collapsed="false">
      <c r="A242" s="36" t="str">
        <f aca="false">IF($B242="","",240)</f>
        <v/>
      </c>
      <c r="B242" s="37"/>
      <c r="C242" s="36"/>
      <c r="D242" s="36" t="str">
        <f aca="false">IF($B242="","",IFERROR(VLOOKUP(TRIM($C242),ModelMap,2,FALSE()),TRIM($C242)))</f>
        <v/>
      </c>
      <c r="E242" s="36"/>
      <c r="F242" s="36"/>
      <c r="G242" s="36"/>
      <c r="H242" s="36"/>
      <c r="I242" s="36"/>
      <c r="J242" s="36"/>
      <c r="K242" s="36" t="str">
        <f aca="false">IF($B242="","",LOWER(TRIM($G242)&amp;" | "&amp;TRIM($H242)&amp;" | "&amp;TRIM($I242)))</f>
        <v/>
      </c>
      <c r="L242" s="36" t="str">
        <f aca="false">IF($B242="","",SUMPRODUCT(--ISNUMBER(SEARCH(SensorKW,$K242)))&gt;0)</f>
        <v/>
      </c>
      <c r="M242" s="36" t="str">
        <f aca="false">IF($B242="","",SUMPRODUCT(--ISNUMBER(SEARCH(DisplayKW,$K242)))&gt;0)</f>
        <v/>
      </c>
      <c r="N242" s="36" t="str">
        <f aca="false">IF($B242="","",SUMPRODUCT(--ISNUMBER(SEARCH(KeypadKW,$K242)))&gt;0)</f>
        <v/>
      </c>
      <c r="O242" s="36" t="str">
        <f aca="false">IF($B242="","",SUMPRODUCT(--ISNUMBER(SEARCH(PowerKW,$K242)))&gt;0)</f>
        <v/>
      </c>
      <c r="P242" s="36" t="str">
        <f aca="false">IF($B242="","",SUMPRODUCT(--ISNUMBER(SEARCH(SpeakerKW,$K242)))&gt;0)</f>
        <v/>
      </c>
      <c r="Q242" s="36" t="str">
        <f aca="false">IF($B242="","",OR(SUMPRODUCT(--ISNUMBER(SEARCH(EmptyKW,$K242)))&gt;0,LOWER(TRIM($F242))="empty"))</f>
        <v/>
      </c>
      <c r="R242" s="36" t="str">
        <f aca="false">IF($B242="","",OR(ISNUMBER(SEARCH("repair",$G242)),ISNUMBER(SEARCH("not working",$G242))))</f>
        <v/>
      </c>
      <c r="S242" s="36" t="str">
        <f aca="false">IF(AND($B242&lt;&gt;"",$M242=TRUE(),$L242=FALSE(),$Q242=FALSE()),COUNTIFS($M$3:$M242,TRUE(),$L$3:$L242,FALSE(),$Q$3:$Q242,FALSE()),"")</f>
        <v/>
      </c>
      <c r="T242" s="36" t="str">
        <f aca="false">IF($B242="","",IF($Q242=TRUE(),"U1",IF($L242=TRUE(),"S1",IF($M242=TRUE(),"D"&amp;MIN(4,INT(($S242-1)/DisplayCapacity)+1),IF($N242=TRUE(),"K1",IF($O242=TRUE(),"P1",IF($P242=TRUE(),"U1",IF($R242=TRUE(),"U1","W"))))))))</f>
        <v/>
      </c>
      <c r="U242" s="36" t="str">
        <f aca="false">IF($T242="","",$T242&amp;"-"&amp;COUNTIF($T$3:T242,$T242))</f>
        <v/>
      </c>
      <c r="V242" s="36" t="str">
        <f aca="false">IF($B242="","",_xlfn.TEXTJOIN(" | ",TRUE(),IF($Q242=TRUE(),"Empty box - no physical device, verify status",""),IF(AND($P242=TRUE(),$L242=FALSE(),$M242=FALSE(),$N242=FALSE(),$O242=FALSE(),$Q242=FALSE()),"Speaker fault only - needs manual box assignment",""),IF(AND($R242=TRUE(),$L242=FALSE(),$M242=FALSE(),$N242=FALSE(),$O242=FALSE(),$P242=FALSE(),$Q242=FALSE()),"No fault detail given - needs technician inspection",""),IF(AND(COUNTIF($F$3:$F$252,$F242)&gt;1,LOWER(TRIM($F242))&lt;&gt;"empty"),"Duplicate Serial No - verify device identity",""),IF((--$L242+--$M242+--$N242+--$O242+--$P242)&gt;1,"Multiple fault types detected - review full details before repair","")))</f>
        <v/>
      </c>
      <c r="W242" s="36"/>
      <c r="X242" s="36"/>
    </row>
    <row r="243" customFormat="false" ht="15" hidden="false" customHeight="true" outlineLevel="0" collapsed="false">
      <c r="A243" s="36" t="str">
        <f aca="false">IF($B243="","",241)</f>
        <v/>
      </c>
      <c r="B243" s="37"/>
      <c r="C243" s="36"/>
      <c r="D243" s="36" t="str">
        <f aca="false">IF($B243="","",IFERROR(VLOOKUP(TRIM($C243),ModelMap,2,FALSE()),TRIM($C243)))</f>
        <v/>
      </c>
      <c r="E243" s="36"/>
      <c r="F243" s="36"/>
      <c r="G243" s="36"/>
      <c r="H243" s="36"/>
      <c r="I243" s="36"/>
      <c r="J243" s="36"/>
      <c r="K243" s="36" t="str">
        <f aca="false">IF($B243="","",LOWER(TRIM($G243)&amp;" | "&amp;TRIM($H243)&amp;" | "&amp;TRIM($I243)))</f>
        <v/>
      </c>
      <c r="L243" s="36" t="str">
        <f aca="false">IF($B243="","",SUMPRODUCT(--ISNUMBER(SEARCH(SensorKW,$K243)))&gt;0)</f>
        <v/>
      </c>
      <c r="M243" s="36" t="str">
        <f aca="false">IF($B243="","",SUMPRODUCT(--ISNUMBER(SEARCH(DisplayKW,$K243)))&gt;0)</f>
        <v/>
      </c>
      <c r="N243" s="36" t="str">
        <f aca="false">IF($B243="","",SUMPRODUCT(--ISNUMBER(SEARCH(KeypadKW,$K243)))&gt;0)</f>
        <v/>
      </c>
      <c r="O243" s="36" t="str">
        <f aca="false">IF($B243="","",SUMPRODUCT(--ISNUMBER(SEARCH(PowerKW,$K243)))&gt;0)</f>
        <v/>
      </c>
      <c r="P243" s="36" t="str">
        <f aca="false">IF($B243="","",SUMPRODUCT(--ISNUMBER(SEARCH(SpeakerKW,$K243)))&gt;0)</f>
        <v/>
      </c>
      <c r="Q243" s="36" t="str">
        <f aca="false">IF($B243="","",OR(SUMPRODUCT(--ISNUMBER(SEARCH(EmptyKW,$K243)))&gt;0,LOWER(TRIM($F243))="empty"))</f>
        <v/>
      </c>
      <c r="R243" s="36" t="str">
        <f aca="false">IF($B243="","",OR(ISNUMBER(SEARCH("repair",$G243)),ISNUMBER(SEARCH("not working",$G243))))</f>
        <v/>
      </c>
      <c r="S243" s="36" t="str">
        <f aca="false">IF(AND($B243&lt;&gt;"",$M243=TRUE(),$L243=FALSE(),$Q243=FALSE()),COUNTIFS($M$3:$M243,TRUE(),$L$3:$L243,FALSE(),$Q$3:$Q243,FALSE()),"")</f>
        <v/>
      </c>
      <c r="T243" s="36" t="str">
        <f aca="false">IF($B243="","",IF($Q243=TRUE(),"U1",IF($L243=TRUE(),"S1",IF($M243=TRUE(),"D"&amp;MIN(4,INT(($S243-1)/DisplayCapacity)+1),IF($N243=TRUE(),"K1",IF($O243=TRUE(),"P1",IF($P243=TRUE(),"U1",IF($R243=TRUE(),"U1","W"))))))))</f>
        <v/>
      </c>
      <c r="U243" s="36" t="str">
        <f aca="false">IF($T243="","",$T243&amp;"-"&amp;COUNTIF($T$3:T243,$T243))</f>
        <v/>
      </c>
      <c r="V243" s="36" t="str">
        <f aca="false">IF($B243="","",_xlfn.TEXTJOIN(" | ",TRUE(),IF($Q243=TRUE(),"Empty box - no physical device, verify status",""),IF(AND($P243=TRUE(),$L243=FALSE(),$M243=FALSE(),$N243=FALSE(),$O243=FALSE(),$Q243=FALSE()),"Speaker fault only - needs manual box assignment",""),IF(AND($R243=TRUE(),$L243=FALSE(),$M243=FALSE(),$N243=FALSE(),$O243=FALSE(),$P243=FALSE(),$Q243=FALSE()),"No fault detail given - needs technician inspection",""),IF(AND(COUNTIF($F$3:$F$252,$F243)&gt;1,LOWER(TRIM($F243))&lt;&gt;"empty"),"Duplicate Serial No - verify device identity",""),IF((--$L243+--$M243+--$N243+--$O243+--$P243)&gt;1,"Multiple fault types detected - review full details before repair","")))</f>
        <v/>
      </c>
      <c r="W243" s="36"/>
      <c r="X243" s="36"/>
    </row>
    <row r="244" customFormat="false" ht="15" hidden="false" customHeight="true" outlineLevel="0" collapsed="false">
      <c r="A244" s="36" t="str">
        <f aca="false">IF($B244="","",242)</f>
        <v/>
      </c>
      <c r="B244" s="37"/>
      <c r="C244" s="36"/>
      <c r="D244" s="36" t="str">
        <f aca="false">IF($B244="","",IFERROR(VLOOKUP(TRIM($C244),ModelMap,2,FALSE()),TRIM($C244)))</f>
        <v/>
      </c>
      <c r="E244" s="36"/>
      <c r="F244" s="36"/>
      <c r="G244" s="36"/>
      <c r="H244" s="36"/>
      <c r="I244" s="36"/>
      <c r="J244" s="36"/>
      <c r="K244" s="36" t="str">
        <f aca="false">IF($B244="","",LOWER(TRIM($G244)&amp;" | "&amp;TRIM($H244)&amp;" | "&amp;TRIM($I244)))</f>
        <v/>
      </c>
      <c r="L244" s="36" t="str">
        <f aca="false">IF($B244="","",SUMPRODUCT(--ISNUMBER(SEARCH(SensorKW,$K244)))&gt;0)</f>
        <v/>
      </c>
      <c r="M244" s="36" t="str">
        <f aca="false">IF($B244="","",SUMPRODUCT(--ISNUMBER(SEARCH(DisplayKW,$K244)))&gt;0)</f>
        <v/>
      </c>
      <c r="N244" s="36" t="str">
        <f aca="false">IF($B244="","",SUMPRODUCT(--ISNUMBER(SEARCH(KeypadKW,$K244)))&gt;0)</f>
        <v/>
      </c>
      <c r="O244" s="36" t="str">
        <f aca="false">IF($B244="","",SUMPRODUCT(--ISNUMBER(SEARCH(PowerKW,$K244)))&gt;0)</f>
        <v/>
      </c>
      <c r="P244" s="36" t="str">
        <f aca="false">IF($B244="","",SUMPRODUCT(--ISNUMBER(SEARCH(SpeakerKW,$K244)))&gt;0)</f>
        <v/>
      </c>
      <c r="Q244" s="36" t="str">
        <f aca="false">IF($B244="","",OR(SUMPRODUCT(--ISNUMBER(SEARCH(EmptyKW,$K244)))&gt;0,LOWER(TRIM($F244))="empty"))</f>
        <v/>
      </c>
      <c r="R244" s="36" t="str">
        <f aca="false">IF($B244="","",OR(ISNUMBER(SEARCH("repair",$G244)),ISNUMBER(SEARCH("not working",$G244))))</f>
        <v/>
      </c>
      <c r="S244" s="36" t="str">
        <f aca="false">IF(AND($B244&lt;&gt;"",$M244=TRUE(),$L244=FALSE(),$Q244=FALSE()),COUNTIFS($M$3:$M244,TRUE(),$L$3:$L244,FALSE(),$Q$3:$Q244,FALSE()),"")</f>
        <v/>
      </c>
      <c r="T244" s="36" t="str">
        <f aca="false">IF($B244="","",IF($Q244=TRUE(),"U1",IF($L244=TRUE(),"S1",IF($M244=TRUE(),"D"&amp;MIN(4,INT(($S244-1)/DisplayCapacity)+1),IF($N244=TRUE(),"K1",IF($O244=TRUE(),"P1",IF($P244=TRUE(),"U1",IF($R244=TRUE(),"U1","W"))))))))</f>
        <v/>
      </c>
      <c r="U244" s="36" t="str">
        <f aca="false">IF($T244="","",$T244&amp;"-"&amp;COUNTIF($T$3:T244,$T244))</f>
        <v/>
      </c>
      <c r="V244" s="36" t="str">
        <f aca="false">IF($B244="","",_xlfn.TEXTJOIN(" | ",TRUE(),IF($Q244=TRUE(),"Empty box - no physical device, verify status",""),IF(AND($P244=TRUE(),$L244=FALSE(),$M244=FALSE(),$N244=FALSE(),$O244=FALSE(),$Q244=FALSE()),"Speaker fault only - needs manual box assignment",""),IF(AND($R244=TRUE(),$L244=FALSE(),$M244=FALSE(),$N244=FALSE(),$O244=FALSE(),$P244=FALSE(),$Q244=FALSE()),"No fault detail given - needs technician inspection",""),IF(AND(COUNTIF($F$3:$F$252,$F244)&gt;1,LOWER(TRIM($F244))&lt;&gt;"empty"),"Duplicate Serial No - verify device identity",""),IF((--$L244+--$M244+--$N244+--$O244+--$P244)&gt;1,"Multiple fault types detected - review full details before repair","")))</f>
        <v/>
      </c>
      <c r="W244" s="36"/>
      <c r="X244" s="36"/>
    </row>
    <row r="245" customFormat="false" ht="15" hidden="false" customHeight="true" outlineLevel="0" collapsed="false">
      <c r="A245" s="36" t="str">
        <f aca="false">IF($B245="","",243)</f>
        <v/>
      </c>
      <c r="B245" s="37"/>
      <c r="C245" s="36"/>
      <c r="D245" s="36" t="str">
        <f aca="false">IF($B245="","",IFERROR(VLOOKUP(TRIM($C245),ModelMap,2,FALSE()),TRIM($C245)))</f>
        <v/>
      </c>
      <c r="E245" s="36"/>
      <c r="F245" s="36"/>
      <c r="G245" s="36"/>
      <c r="H245" s="36"/>
      <c r="I245" s="36"/>
      <c r="J245" s="36"/>
      <c r="K245" s="36" t="str">
        <f aca="false">IF($B245="","",LOWER(TRIM($G245)&amp;" | "&amp;TRIM($H245)&amp;" | "&amp;TRIM($I245)))</f>
        <v/>
      </c>
      <c r="L245" s="36" t="str">
        <f aca="false">IF($B245="","",SUMPRODUCT(--ISNUMBER(SEARCH(SensorKW,$K245)))&gt;0)</f>
        <v/>
      </c>
      <c r="M245" s="36" t="str">
        <f aca="false">IF($B245="","",SUMPRODUCT(--ISNUMBER(SEARCH(DisplayKW,$K245)))&gt;0)</f>
        <v/>
      </c>
      <c r="N245" s="36" t="str">
        <f aca="false">IF($B245="","",SUMPRODUCT(--ISNUMBER(SEARCH(KeypadKW,$K245)))&gt;0)</f>
        <v/>
      </c>
      <c r="O245" s="36" t="str">
        <f aca="false">IF($B245="","",SUMPRODUCT(--ISNUMBER(SEARCH(PowerKW,$K245)))&gt;0)</f>
        <v/>
      </c>
      <c r="P245" s="36" t="str">
        <f aca="false">IF($B245="","",SUMPRODUCT(--ISNUMBER(SEARCH(SpeakerKW,$K245)))&gt;0)</f>
        <v/>
      </c>
      <c r="Q245" s="36" t="str">
        <f aca="false">IF($B245="","",OR(SUMPRODUCT(--ISNUMBER(SEARCH(EmptyKW,$K245)))&gt;0,LOWER(TRIM($F245))="empty"))</f>
        <v/>
      </c>
      <c r="R245" s="36" t="str">
        <f aca="false">IF($B245="","",OR(ISNUMBER(SEARCH("repair",$G245)),ISNUMBER(SEARCH("not working",$G245))))</f>
        <v/>
      </c>
      <c r="S245" s="36" t="str">
        <f aca="false">IF(AND($B245&lt;&gt;"",$M245=TRUE(),$L245=FALSE(),$Q245=FALSE()),COUNTIFS($M$3:$M245,TRUE(),$L$3:$L245,FALSE(),$Q$3:$Q245,FALSE()),"")</f>
        <v/>
      </c>
      <c r="T245" s="36" t="str">
        <f aca="false">IF($B245="","",IF($Q245=TRUE(),"U1",IF($L245=TRUE(),"S1",IF($M245=TRUE(),"D"&amp;MIN(4,INT(($S245-1)/DisplayCapacity)+1),IF($N245=TRUE(),"K1",IF($O245=TRUE(),"P1",IF($P245=TRUE(),"U1",IF($R245=TRUE(),"U1","W"))))))))</f>
        <v/>
      </c>
      <c r="U245" s="36" t="str">
        <f aca="false">IF($T245="","",$T245&amp;"-"&amp;COUNTIF($T$3:T245,$T245))</f>
        <v/>
      </c>
      <c r="V245" s="36" t="str">
        <f aca="false">IF($B245="","",_xlfn.TEXTJOIN(" | ",TRUE(),IF($Q245=TRUE(),"Empty box - no physical device, verify status",""),IF(AND($P245=TRUE(),$L245=FALSE(),$M245=FALSE(),$N245=FALSE(),$O245=FALSE(),$Q245=FALSE()),"Speaker fault only - needs manual box assignment",""),IF(AND($R245=TRUE(),$L245=FALSE(),$M245=FALSE(),$N245=FALSE(),$O245=FALSE(),$P245=FALSE(),$Q245=FALSE()),"No fault detail given - needs technician inspection",""),IF(AND(COUNTIF($F$3:$F$252,$F245)&gt;1,LOWER(TRIM($F245))&lt;&gt;"empty"),"Duplicate Serial No - verify device identity",""),IF((--$L245+--$M245+--$N245+--$O245+--$P245)&gt;1,"Multiple fault types detected - review full details before repair","")))</f>
        <v/>
      </c>
      <c r="W245" s="36"/>
      <c r="X245" s="36"/>
    </row>
    <row r="246" customFormat="false" ht="15" hidden="false" customHeight="true" outlineLevel="0" collapsed="false">
      <c r="A246" s="36" t="str">
        <f aca="false">IF($B246="","",244)</f>
        <v/>
      </c>
      <c r="B246" s="37"/>
      <c r="C246" s="36"/>
      <c r="D246" s="36" t="str">
        <f aca="false">IF($B246="","",IFERROR(VLOOKUP(TRIM($C246),ModelMap,2,FALSE()),TRIM($C246)))</f>
        <v/>
      </c>
      <c r="E246" s="36"/>
      <c r="F246" s="36"/>
      <c r="G246" s="36"/>
      <c r="H246" s="36"/>
      <c r="I246" s="36"/>
      <c r="J246" s="36"/>
      <c r="K246" s="36" t="str">
        <f aca="false">IF($B246="","",LOWER(TRIM($G246)&amp;" | "&amp;TRIM($H246)&amp;" | "&amp;TRIM($I246)))</f>
        <v/>
      </c>
      <c r="L246" s="36" t="str">
        <f aca="false">IF($B246="","",SUMPRODUCT(--ISNUMBER(SEARCH(SensorKW,$K246)))&gt;0)</f>
        <v/>
      </c>
      <c r="M246" s="36" t="str">
        <f aca="false">IF($B246="","",SUMPRODUCT(--ISNUMBER(SEARCH(DisplayKW,$K246)))&gt;0)</f>
        <v/>
      </c>
      <c r="N246" s="36" t="str">
        <f aca="false">IF($B246="","",SUMPRODUCT(--ISNUMBER(SEARCH(KeypadKW,$K246)))&gt;0)</f>
        <v/>
      </c>
      <c r="O246" s="36" t="str">
        <f aca="false">IF($B246="","",SUMPRODUCT(--ISNUMBER(SEARCH(PowerKW,$K246)))&gt;0)</f>
        <v/>
      </c>
      <c r="P246" s="36" t="str">
        <f aca="false">IF($B246="","",SUMPRODUCT(--ISNUMBER(SEARCH(SpeakerKW,$K246)))&gt;0)</f>
        <v/>
      </c>
      <c r="Q246" s="36" t="str">
        <f aca="false">IF($B246="","",OR(SUMPRODUCT(--ISNUMBER(SEARCH(EmptyKW,$K246)))&gt;0,LOWER(TRIM($F246))="empty"))</f>
        <v/>
      </c>
      <c r="R246" s="36" t="str">
        <f aca="false">IF($B246="","",OR(ISNUMBER(SEARCH("repair",$G246)),ISNUMBER(SEARCH("not working",$G246))))</f>
        <v/>
      </c>
      <c r="S246" s="36" t="str">
        <f aca="false">IF(AND($B246&lt;&gt;"",$M246=TRUE(),$L246=FALSE(),$Q246=FALSE()),COUNTIFS($M$3:$M246,TRUE(),$L$3:$L246,FALSE(),$Q$3:$Q246,FALSE()),"")</f>
        <v/>
      </c>
      <c r="T246" s="36" t="str">
        <f aca="false">IF($B246="","",IF($Q246=TRUE(),"U1",IF($L246=TRUE(),"S1",IF($M246=TRUE(),"D"&amp;MIN(4,INT(($S246-1)/DisplayCapacity)+1),IF($N246=TRUE(),"K1",IF($O246=TRUE(),"P1",IF($P246=TRUE(),"U1",IF($R246=TRUE(),"U1","W"))))))))</f>
        <v/>
      </c>
      <c r="U246" s="36" t="str">
        <f aca="false">IF($T246="","",$T246&amp;"-"&amp;COUNTIF($T$3:T246,$T246))</f>
        <v/>
      </c>
      <c r="V246" s="36" t="str">
        <f aca="false">IF($B246="","",_xlfn.TEXTJOIN(" | ",TRUE(),IF($Q246=TRUE(),"Empty box - no physical device, verify status",""),IF(AND($P246=TRUE(),$L246=FALSE(),$M246=FALSE(),$N246=FALSE(),$O246=FALSE(),$Q246=FALSE()),"Speaker fault only - needs manual box assignment",""),IF(AND($R246=TRUE(),$L246=FALSE(),$M246=FALSE(),$N246=FALSE(),$O246=FALSE(),$P246=FALSE(),$Q246=FALSE()),"No fault detail given - needs technician inspection",""),IF(AND(COUNTIF($F$3:$F$252,$F246)&gt;1,LOWER(TRIM($F246))&lt;&gt;"empty"),"Duplicate Serial No - verify device identity",""),IF((--$L246+--$M246+--$N246+--$O246+--$P246)&gt;1,"Multiple fault types detected - review full details before repair","")))</f>
        <v/>
      </c>
      <c r="W246" s="36"/>
      <c r="X246" s="36"/>
    </row>
    <row r="247" customFormat="false" ht="15" hidden="false" customHeight="true" outlineLevel="0" collapsed="false">
      <c r="A247" s="36" t="str">
        <f aca="false">IF($B247="","",245)</f>
        <v/>
      </c>
      <c r="B247" s="37"/>
      <c r="C247" s="36"/>
      <c r="D247" s="36" t="str">
        <f aca="false">IF($B247="","",IFERROR(VLOOKUP(TRIM($C247),ModelMap,2,FALSE()),TRIM($C247)))</f>
        <v/>
      </c>
      <c r="E247" s="36"/>
      <c r="F247" s="36"/>
      <c r="G247" s="36"/>
      <c r="H247" s="36"/>
      <c r="I247" s="36"/>
      <c r="J247" s="36"/>
      <c r="K247" s="36" t="str">
        <f aca="false">IF($B247="","",LOWER(TRIM($G247)&amp;" | "&amp;TRIM($H247)&amp;" | "&amp;TRIM($I247)))</f>
        <v/>
      </c>
      <c r="L247" s="36" t="str">
        <f aca="false">IF($B247="","",SUMPRODUCT(--ISNUMBER(SEARCH(SensorKW,$K247)))&gt;0)</f>
        <v/>
      </c>
      <c r="M247" s="36" t="str">
        <f aca="false">IF($B247="","",SUMPRODUCT(--ISNUMBER(SEARCH(DisplayKW,$K247)))&gt;0)</f>
        <v/>
      </c>
      <c r="N247" s="36" t="str">
        <f aca="false">IF($B247="","",SUMPRODUCT(--ISNUMBER(SEARCH(KeypadKW,$K247)))&gt;0)</f>
        <v/>
      </c>
      <c r="O247" s="36" t="str">
        <f aca="false">IF($B247="","",SUMPRODUCT(--ISNUMBER(SEARCH(PowerKW,$K247)))&gt;0)</f>
        <v/>
      </c>
      <c r="P247" s="36" t="str">
        <f aca="false">IF($B247="","",SUMPRODUCT(--ISNUMBER(SEARCH(SpeakerKW,$K247)))&gt;0)</f>
        <v/>
      </c>
      <c r="Q247" s="36" t="str">
        <f aca="false">IF($B247="","",OR(SUMPRODUCT(--ISNUMBER(SEARCH(EmptyKW,$K247)))&gt;0,LOWER(TRIM($F247))="empty"))</f>
        <v/>
      </c>
      <c r="R247" s="36" t="str">
        <f aca="false">IF($B247="","",OR(ISNUMBER(SEARCH("repair",$G247)),ISNUMBER(SEARCH("not working",$G247))))</f>
        <v/>
      </c>
      <c r="S247" s="36" t="str">
        <f aca="false">IF(AND($B247&lt;&gt;"",$M247=TRUE(),$L247=FALSE(),$Q247=FALSE()),COUNTIFS($M$3:$M247,TRUE(),$L$3:$L247,FALSE(),$Q$3:$Q247,FALSE()),"")</f>
        <v/>
      </c>
      <c r="T247" s="36" t="str">
        <f aca="false">IF($B247="","",IF($Q247=TRUE(),"U1",IF($L247=TRUE(),"S1",IF($M247=TRUE(),"D"&amp;MIN(4,INT(($S247-1)/DisplayCapacity)+1),IF($N247=TRUE(),"K1",IF($O247=TRUE(),"P1",IF($P247=TRUE(),"U1",IF($R247=TRUE(),"U1","W"))))))))</f>
        <v/>
      </c>
      <c r="U247" s="36" t="str">
        <f aca="false">IF($T247="","",$T247&amp;"-"&amp;COUNTIF($T$3:T247,$T247))</f>
        <v/>
      </c>
      <c r="V247" s="36" t="str">
        <f aca="false">IF($B247="","",_xlfn.TEXTJOIN(" | ",TRUE(),IF($Q247=TRUE(),"Empty box - no physical device, verify status",""),IF(AND($P247=TRUE(),$L247=FALSE(),$M247=FALSE(),$N247=FALSE(),$O247=FALSE(),$Q247=FALSE()),"Speaker fault only - needs manual box assignment",""),IF(AND($R247=TRUE(),$L247=FALSE(),$M247=FALSE(),$N247=FALSE(),$O247=FALSE(),$P247=FALSE(),$Q247=FALSE()),"No fault detail given - needs technician inspection",""),IF(AND(COUNTIF($F$3:$F$252,$F247)&gt;1,LOWER(TRIM($F247))&lt;&gt;"empty"),"Duplicate Serial No - verify device identity",""),IF((--$L247+--$M247+--$N247+--$O247+--$P247)&gt;1,"Multiple fault types detected - review full details before repair","")))</f>
        <v/>
      </c>
      <c r="W247" s="36"/>
      <c r="X247" s="36"/>
    </row>
    <row r="248" customFormat="false" ht="15" hidden="false" customHeight="true" outlineLevel="0" collapsed="false">
      <c r="A248" s="36" t="str">
        <f aca="false">IF($B248="","",246)</f>
        <v/>
      </c>
      <c r="B248" s="37"/>
      <c r="C248" s="36"/>
      <c r="D248" s="36" t="str">
        <f aca="false">IF($B248="","",IFERROR(VLOOKUP(TRIM($C248),ModelMap,2,FALSE()),TRIM($C248)))</f>
        <v/>
      </c>
      <c r="E248" s="36"/>
      <c r="F248" s="36"/>
      <c r="G248" s="36"/>
      <c r="H248" s="36"/>
      <c r="I248" s="36"/>
      <c r="J248" s="36"/>
      <c r="K248" s="36" t="str">
        <f aca="false">IF($B248="","",LOWER(TRIM($G248)&amp;" | "&amp;TRIM($H248)&amp;" | "&amp;TRIM($I248)))</f>
        <v/>
      </c>
      <c r="L248" s="36" t="str">
        <f aca="false">IF($B248="","",SUMPRODUCT(--ISNUMBER(SEARCH(SensorKW,$K248)))&gt;0)</f>
        <v/>
      </c>
      <c r="M248" s="36" t="str">
        <f aca="false">IF($B248="","",SUMPRODUCT(--ISNUMBER(SEARCH(DisplayKW,$K248)))&gt;0)</f>
        <v/>
      </c>
      <c r="N248" s="36" t="str">
        <f aca="false">IF($B248="","",SUMPRODUCT(--ISNUMBER(SEARCH(KeypadKW,$K248)))&gt;0)</f>
        <v/>
      </c>
      <c r="O248" s="36" t="str">
        <f aca="false">IF($B248="","",SUMPRODUCT(--ISNUMBER(SEARCH(PowerKW,$K248)))&gt;0)</f>
        <v/>
      </c>
      <c r="P248" s="36" t="str">
        <f aca="false">IF($B248="","",SUMPRODUCT(--ISNUMBER(SEARCH(SpeakerKW,$K248)))&gt;0)</f>
        <v/>
      </c>
      <c r="Q248" s="36" t="str">
        <f aca="false">IF($B248="","",OR(SUMPRODUCT(--ISNUMBER(SEARCH(EmptyKW,$K248)))&gt;0,LOWER(TRIM($F248))="empty"))</f>
        <v/>
      </c>
      <c r="R248" s="36" t="str">
        <f aca="false">IF($B248="","",OR(ISNUMBER(SEARCH("repair",$G248)),ISNUMBER(SEARCH("not working",$G248))))</f>
        <v/>
      </c>
      <c r="S248" s="36" t="str">
        <f aca="false">IF(AND($B248&lt;&gt;"",$M248=TRUE(),$L248=FALSE(),$Q248=FALSE()),COUNTIFS($M$3:$M248,TRUE(),$L$3:$L248,FALSE(),$Q$3:$Q248,FALSE()),"")</f>
        <v/>
      </c>
      <c r="T248" s="36" t="str">
        <f aca="false">IF($B248="","",IF($Q248=TRUE(),"U1",IF($L248=TRUE(),"S1",IF($M248=TRUE(),"D"&amp;MIN(4,INT(($S248-1)/DisplayCapacity)+1),IF($N248=TRUE(),"K1",IF($O248=TRUE(),"P1",IF($P248=TRUE(),"U1",IF($R248=TRUE(),"U1","W"))))))))</f>
        <v/>
      </c>
      <c r="U248" s="36" t="str">
        <f aca="false">IF($T248="","",$T248&amp;"-"&amp;COUNTIF($T$3:T248,$T248))</f>
        <v/>
      </c>
      <c r="V248" s="36" t="str">
        <f aca="false">IF($B248="","",_xlfn.TEXTJOIN(" | ",TRUE(),IF($Q248=TRUE(),"Empty box - no physical device, verify status",""),IF(AND($P248=TRUE(),$L248=FALSE(),$M248=FALSE(),$N248=FALSE(),$O248=FALSE(),$Q248=FALSE()),"Speaker fault only - needs manual box assignment",""),IF(AND($R248=TRUE(),$L248=FALSE(),$M248=FALSE(),$N248=FALSE(),$O248=FALSE(),$P248=FALSE(),$Q248=FALSE()),"No fault detail given - needs technician inspection",""),IF(AND(COUNTIF($F$3:$F$252,$F248)&gt;1,LOWER(TRIM($F248))&lt;&gt;"empty"),"Duplicate Serial No - verify device identity",""),IF((--$L248+--$M248+--$N248+--$O248+--$P248)&gt;1,"Multiple fault types detected - review full details before repair","")))</f>
        <v/>
      </c>
      <c r="W248" s="36"/>
      <c r="X248" s="36"/>
    </row>
    <row r="249" customFormat="false" ht="15" hidden="false" customHeight="true" outlineLevel="0" collapsed="false">
      <c r="A249" s="36" t="str">
        <f aca="false">IF($B249="","",247)</f>
        <v/>
      </c>
      <c r="B249" s="37"/>
      <c r="C249" s="36"/>
      <c r="D249" s="36" t="str">
        <f aca="false">IF($B249="","",IFERROR(VLOOKUP(TRIM($C249),ModelMap,2,FALSE()),TRIM($C249)))</f>
        <v/>
      </c>
      <c r="E249" s="36"/>
      <c r="F249" s="36"/>
      <c r="G249" s="36"/>
      <c r="H249" s="36"/>
      <c r="I249" s="36"/>
      <c r="J249" s="36"/>
      <c r="K249" s="36" t="str">
        <f aca="false">IF($B249="","",LOWER(TRIM($G249)&amp;" | "&amp;TRIM($H249)&amp;" | "&amp;TRIM($I249)))</f>
        <v/>
      </c>
      <c r="L249" s="36" t="str">
        <f aca="false">IF($B249="","",SUMPRODUCT(--ISNUMBER(SEARCH(SensorKW,$K249)))&gt;0)</f>
        <v/>
      </c>
      <c r="M249" s="36" t="str">
        <f aca="false">IF($B249="","",SUMPRODUCT(--ISNUMBER(SEARCH(DisplayKW,$K249)))&gt;0)</f>
        <v/>
      </c>
      <c r="N249" s="36" t="str">
        <f aca="false">IF($B249="","",SUMPRODUCT(--ISNUMBER(SEARCH(KeypadKW,$K249)))&gt;0)</f>
        <v/>
      </c>
      <c r="O249" s="36" t="str">
        <f aca="false">IF($B249="","",SUMPRODUCT(--ISNUMBER(SEARCH(PowerKW,$K249)))&gt;0)</f>
        <v/>
      </c>
      <c r="P249" s="36" t="str">
        <f aca="false">IF($B249="","",SUMPRODUCT(--ISNUMBER(SEARCH(SpeakerKW,$K249)))&gt;0)</f>
        <v/>
      </c>
      <c r="Q249" s="36" t="str">
        <f aca="false">IF($B249="","",OR(SUMPRODUCT(--ISNUMBER(SEARCH(EmptyKW,$K249)))&gt;0,LOWER(TRIM($F249))="empty"))</f>
        <v/>
      </c>
      <c r="R249" s="36" t="str">
        <f aca="false">IF($B249="","",OR(ISNUMBER(SEARCH("repair",$G249)),ISNUMBER(SEARCH("not working",$G249))))</f>
        <v/>
      </c>
      <c r="S249" s="36" t="str">
        <f aca="false">IF(AND($B249&lt;&gt;"",$M249=TRUE(),$L249=FALSE(),$Q249=FALSE()),COUNTIFS($M$3:$M249,TRUE(),$L$3:$L249,FALSE(),$Q$3:$Q249,FALSE()),"")</f>
        <v/>
      </c>
      <c r="T249" s="36" t="str">
        <f aca="false">IF($B249="","",IF($Q249=TRUE(),"U1",IF($L249=TRUE(),"S1",IF($M249=TRUE(),"D"&amp;MIN(4,INT(($S249-1)/DisplayCapacity)+1),IF($N249=TRUE(),"K1",IF($O249=TRUE(),"P1",IF($P249=TRUE(),"U1",IF($R249=TRUE(),"U1","W"))))))))</f>
        <v/>
      </c>
      <c r="U249" s="36" t="str">
        <f aca="false">IF($T249="","",$T249&amp;"-"&amp;COUNTIF($T$3:T249,$T249))</f>
        <v/>
      </c>
      <c r="V249" s="36" t="str">
        <f aca="false">IF($B249="","",_xlfn.TEXTJOIN(" | ",TRUE(),IF($Q249=TRUE(),"Empty box - no physical device, verify status",""),IF(AND($P249=TRUE(),$L249=FALSE(),$M249=FALSE(),$N249=FALSE(),$O249=FALSE(),$Q249=FALSE()),"Speaker fault only - needs manual box assignment",""),IF(AND($R249=TRUE(),$L249=FALSE(),$M249=FALSE(),$N249=FALSE(),$O249=FALSE(),$P249=FALSE(),$Q249=FALSE()),"No fault detail given - needs technician inspection",""),IF(AND(COUNTIF($F$3:$F$252,$F249)&gt;1,LOWER(TRIM($F249))&lt;&gt;"empty"),"Duplicate Serial No - verify device identity",""),IF((--$L249+--$M249+--$N249+--$O249+--$P249)&gt;1,"Multiple fault types detected - review full details before repair","")))</f>
        <v/>
      </c>
      <c r="W249" s="36"/>
      <c r="X249" s="36"/>
    </row>
    <row r="250" customFormat="false" ht="15" hidden="false" customHeight="true" outlineLevel="0" collapsed="false">
      <c r="A250" s="36" t="str">
        <f aca="false">IF($B250="","",248)</f>
        <v/>
      </c>
      <c r="B250" s="37"/>
      <c r="C250" s="36"/>
      <c r="D250" s="36" t="str">
        <f aca="false">IF($B250="","",IFERROR(VLOOKUP(TRIM($C250),ModelMap,2,FALSE()),TRIM($C250)))</f>
        <v/>
      </c>
      <c r="E250" s="36"/>
      <c r="F250" s="36"/>
      <c r="G250" s="36"/>
      <c r="H250" s="36"/>
      <c r="I250" s="36"/>
      <c r="J250" s="36"/>
      <c r="K250" s="36" t="str">
        <f aca="false">IF($B250="","",LOWER(TRIM($G250)&amp;" | "&amp;TRIM($H250)&amp;" | "&amp;TRIM($I250)))</f>
        <v/>
      </c>
      <c r="L250" s="36" t="str">
        <f aca="false">IF($B250="","",SUMPRODUCT(--ISNUMBER(SEARCH(SensorKW,$K250)))&gt;0)</f>
        <v/>
      </c>
      <c r="M250" s="36" t="str">
        <f aca="false">IF($B250="","",SUMPRODUCT(--ISNUMBER(SEARCH(DisplayKW,$K250)))&gt;0)</f>
        <v/>
      </c>
      <c r="N250" s="36" t="str">
        <f aca="false">IF($B250="","",SUMPRODUCT(--ISNUMBER(SEARCH(KeypadKW,$K250)))&gt;0)</f>
        <v/>
      </c>
      <c r="O250" s="36" t="str">
        <f aca="false">IF($B250="","",SUMPRODUCT(--ISNUMBER(SEARCH(PowerKW,$K250)))&gt;0)</f>
        <v/>
      </c>
      <c r="P250" s="36" t="str">
        <f aca="false">IF($B250="","",SUMPRODUCT(--ISNUMBER(SEARCH(SpeakerKW,$K250)))&gt;0)</f>
        <v/>
      </c>
      <c r="Q250" s="36" t="str">
        <f aca="false">IF($B250="","",OR(SUMPRODUCT(--ISNUMBER(SEARCH(EmptyKW,$K250)))&gt;0,LOWER(TRIM($F250))="empty"))</f>
        <v/>
      </c>
      <c r="R250" s="36" t="str">
        <f aca="false">IF($B250="","",OR(ISNUMBER(SEARCH("repair",$G250)),ISNUMBER(SEARCH("not working",$G250))))</f>
        <v/>
      </c>
      <c r="S250" s="36" t="str">
        <f aca="false">IF(AND($B250&lt;&gt;"",$M250=TRUE(),$L250=FALSE(),$Q250=FALSE()),COUNTIFS($M$3:$M250,TRUE(),$L$3:$L250,FALSE(),$Q$3:$Q250,FALSE()),"")</f>
        <v/>
      </c>
      <c r="T250" s="36" t="str">
        <f aca="false">IF($B250="","",IF($Q250=TRUE(),"U1",IF($L250=TRUE(),"S1",IF($M250=TRUE(),"D"&amp;MIN(4,INT(($S250-1)/DisplayCapacity)+1),IF($N250=TRUE(),"K1",IF($O250=TRUE(),"P1",IF($P250=TRUE(),"U1",IF($R250=TRUE(),"U1","W"))))))))</f>
        <v/>
      </c>
      <c r="U250" s="36" t="str">
        <f aca="false">IF($T250="","",$T250&amp;"-"&amp;COUNTIF($T$3:T250,$T250))</f>
        <v/>
      </c>
      <c r="V250" s="36" t="str">
        <f aca="false">IF($B250="","",_xlfn.TEXTJOIN(" | ",TRUE(),IF($Q250=TRUE(),"Empty box - no physical device, verify status",""),IF(AND($P250=TRUE(),$L250=FALSE(),$M250=FALSE(),$N250=FALSE(),$O250=FALSE(),$Q250=FALSE()),"Speaker fault only - needs manual box assignment",""),IF(AND($R250=TRUE(),$L250=FALSE(),$M250=FALSE(),$N250=FALSE(),$O250=FALSE(),$P250=FALSE(),$Q250=FALSE()),"No fault detail given - needs technician inspection",""),IF(AND(COUNTIF($F$3:$F$252,$F250)&gt;1,LOWER(TRIM($F250))&lt;&gt;"empty"),"Duplicate Serial No - verify device identity",""),IF((--$L250+--$M250+--$N250+--$O250+--$P250)&gt;1,"Multiple fault types detected - review full details before repair","")))</f>
        <v/>
      </c>
      <c r="W250" s="36"/>
      <c r="X250" s="36"/>
    </row>
    <row r="251" customFormat="false" ht="15" hidden="false" customHeight="true" outlineLevel="0" collapsed="false">
      <c r="A251" s="36" t="str">
        <f aca="false">IF($B251="","",249)</f>
        <v/>
      </c>
      <c r="B251" s="37"/>
      <c r="C251" s="36"/>
      <c r="D251" s="36" t="str">
        <f aca="false">IF($B251="","",IFERROR(VLOOKUP(TRIM($C251),ModelMap,2,FALSE()),TRIM($C251)))</f>
        <v/>
      </c>
      <c r="E251" s="36"/>
      <c r="F251" s="36"/>
      <c r="G251" s="36"/>
      <c r="H251" s="36"/>
      <c r="I251" s="36"/>
      <c r="J251" s="36"/>
      <c r="K251" s="36" t="str">
        <f aca="false">IF($B251="","",LOWER(TRIM($G251)&amp;" | "&amp;TRIM($H251)&amp;" | "&amp;TRIM($I251)))</f>
        <v/>
      </c>
      <c r="L251" s="36" t="str">
        <f aca="false">IF($B251="","",SUMPRODUCT(--ISNUMBER(SEARCH(SensorKW,$K251)))&gt;0)</f>
        <v/>
      </c>
      <c r="M251" s="36" t="str">
        <f aca="false">IF($B251="","",SUMPRODUCT(--ISNUMBER(SEARCH(DisplayKW,$K251)))&gt;0)</f>
        <v/>
      </c>
      <c r="N251" s="36" t="str">
        <f aca="false">IF($B251="","",SUMPRODUCT(--ISNUMBER(SEARCH(KeypadKW,$K251)))&gt;0)</f>
        <v/>
      </c>
      <c r="O251" s="36" t="str">
        <f aca="false">IF($B251="","",SUMPRODUCT(--ISNUMBER(SEARCH(PowerKW,$K251)))&gt;0)</f>
        <v/>
      </c>
      <c r="P251" s="36" t="str">
        <f aca="false">IF($B251="","",SUMPRODUCT(--ISNUMBER(SEARCH(SpeakerKW,$K251)))&gt;0)</f>
        <v/>
      </c>
      <c r="Q251" s="36" t="str">
        <f aca="false">IF($B251="","",OR(SUMPRODUCT(--ISNUMBER(SEARCH(EmptyKW,$K251)))&gt;0,LOWER(TRIM($F251))="empty"))</f>
        <v/>
      </c>
      <c r="R251" s="36" t="str">
        <f aca="false">IF($B251="","",OR(ISNUMBER(SEARCH("repair",$G251)),ISNUMBER(SEARCH("not working",$G251))))</f>
        <v/>
      </c>
      <c r="S251" s="36" t="str">
        <f aca="false">IF(AND($B251&lt;&gt;"",$M251=TRUE(),$L251=FALSE(),$Q251=FALSE()),COUNTIFS($M$3:$M251,TRUE(),$L$3:$L251,FALSE(),$Q$3:$Q251,FALSE()),"")</f>
        <v/>
      </c>
      <c r="T251" s="36" t="str">
        <f aca="false">IF($B251="","",IF($Q251=TRUE(),"U1",IF($L251=TRUE(),"S1",IF($M251=TRUE(),"D"&amp;MIN(4,INT(($S251-1)/DisplayCapacity)+1),IF($N251=TRUE(),"K1",IF($O251=TRUE(),"P1",IF($P251=TRUE(),"U1",IF($R251=TRUE(),"U1","W"))))))))</f>
        <v/>
      </c>
      <c r="U251" s="36" t="str">
        <f aca="false">IF($T251="","",$T251&amp;"-"&amp;COUNTIF($T$3:T251,$T251))</f>
        <v/>
      </c>
      <c r="V251" s="36" t="str">
        <f aca="false">IF($B251="","",_xlfn.TEXTJOIN(" | ",TRUE(),IF($Q251=TRUE(),"Empty box - no physical device, verify status",""),IF(AND($P251=TRUE(),$L251=FALSE(),$M251=FALSE(),$N251=FALSE(),$O251=FALSE(),$Q251=FALSE()),"Speaker fault only - needs manual box assignment",""),IF(AND($R251=TRUE(),$L251=FALSE(),$M251=FALSE(),$N251=FALSE(),$O251=FALSE(),$P251=FALSE(),$Q251=FALSE()),"No fault detail given - needs technician inspection",""),IF(AND(COUNTIF($F$3:$F$252,$F251)&gt;1,LOWER(TRIM($F251))&lt;&gt;"empty"),"Duplicate Serial No - verify device identity",""),IF((--$L251+--$M251+--$N251+--$O251+--$P251)&gt;1,"Multiple fault types detected - review full details before repair","")))</f>
        <v/>
      </c>
      <c r="W251" s="36"/>
      <c r="X251" s="36"/>
    </row>
    <row r="252" customFormat="false" ht="15" hidden="false" customHeight="true" outlineLevel="0" collapsed="false">
      <c r="A252" s="36" t="str">
        <f aca="false">IF($B252="","",250)</f>
        <v/>
      </c>
      <c r="B252" s="37"/>
      <c r="C252" s="36"/>
      <c r="D252" s="36" t="str">
        <f aca="false">IF($B252="","",IFERROR(VLOOKUP(TRIM($C252),ModelMap,2,FALSE()),TRIM($C252)))</f>
        <v/>
      </c>
      <c r="E252" s="36"/>
      <c r="F252" s="36"/>
      <c r="G252" s="36"/>
      <c r="H252" s="36"/>
      <c r="I252" s="36"/>
      <c r="J252" s="36"/>
      <c r="K252" s="36" t="str">
        <f aca="false">IF($B252="","",LOWER(TRIM($G252)&amp;" | "&amp;TRIM($H252)&amp;" | "&amp;TRIM($I252)))</f>
        <v/>
      </c>
      <c r="L252" s="36" t="str">
        <f aca="false">IF($B252="","",SUMPRODUCT(--ISNUMBER(SEARCH(SensorKW,$K252)))&gt;0)</f>
        <v/>
      </c>
      <c r="M252" s="36" t="str">
        <f aca="false">IF($B252="","",SUMPRODUCT(--ISNUMBER(SEARCH(DisplayKW,$K252)))&gt;0)</f>
        <v/>
      </c>
      <c r="N252" s="36" t="str">
        <f aca="false">IF($B252="","",SUMPRODUCT(--ISNUMBER(SEARCH(KeypadKW,$K252)))&gt;0)</f>
        <v/>
      </c>
      <c r="O252" s="36" t="str">
        <f aca="false">IF($B252="","",SUMPRODUCT(--ISNUMBER(SEARCH(PowerKW,$K252)))&gt;0)</f>
        <v/>
      </c>
      <c r="P252" s="36" t="str">
        <f aca="false">IF($B252="","",SUMPRODUCT(--ISNUMBER(SEARCH(SpeakerKW,$K252)))&gt;0)</f>
        <v/>
      </c>
      <c r="Q252" s="36" t="str">
        <f aca="false">IF($B252="","",OR(SUMPRODUCT(--ISNUMBER(SEARCH(EmptyKW,$K252)))&gt;0,LOWER(TRIM($F252))="empty"))</f>
        <v/>
      </c>
      <c r="R252" s="36" t="str">
        <f aca="false">IF($B252="","",OR(ISNUMBER(SEARCH("repair",$G252)),ISNUMBER(SEARCH("not working",$G252))))</f>
        <v/>
      </c>
      <c r="S252" s="36" t="str">
        <f aca="false">IF(AND($B252&lt;&gt;"",$M252=TRUE(),$L252=FALSE(),$Q252=FALSE()),COUNTIFS($M$3:$M252,TRUE(),$L$3:$L252,FALSE(),$Q$3:$Q252,FALSE()),"")</f>
        <v/>
      </c>
      <c r="T252" s="36" t="str">
        <f aca="false">IF($B252="","",IF($Q252=TRUE(),"U1",IF($L252=TRUE(),"S1",IF($M252=TRUE(),"D"&amp;MIN(4,INT(($S252-1)/DisplayCapacity)+1),IF($N252=TRUE(),"K1",IF($O252=TRUE(),"P1",IF($P252=TRUE(),"U1",IF($R252=TRUE(),"U1","W"))))))))</f>
        <v/>
      </c>
      <c r="U252" s="36" t="str">
        <f aca="false">IF($T252="","",$T252&amp;"-"&amp;COUNTIF($T$3:T252,$T252))</f>
        <v/>
      </c>
      <c r="V252" s="36" t="str">
        <f aca="false">IF($B252="","",_xlfn.TEXTJOIN(" | ",TRUE(),IF($Q252=TRUE(),"Empty box - no physical device, verify status",""),IF(AND($P252=TRUE(),$L252=FALSE(),$M252=FALSE(),$N252=FALSE(),$O252=FALSE(),$Q252=FALSE()),"Speaker fault only - needs manual box assignment",""),IF(AND($R252=TRUE(),$L252=FALSE(),$M252=FALSE(),$N252=FALSE(),$O252=FALSE(),$P252=FALSE(),$Q252=FALSE()),"No fault detail given - needs technician inspection",""),IF(AND(COUNTIF($F$3:$F$252,$F252)&gt;1,LOWER(TRIM($F252))&lt;&gt;"empty"),"Duplicate Serial No - verify device identity",""),IF((--$L252+--$M252+--$N252+--$O252+--$P252)&gt;1,"Multiple fault types detected - review full details before repair","")))</f>
        <v/>
      </c>
      <c r="W252" s="36"/>
      <c r="X252" s="36"/>
    </row>
  </sheetData>
  <autoFilter ref="A2:X252"/>
  <mergeCells count="1">
    <mergeCell ref="A1:X1"/>
  </mergeCells>
  <conditionalFormatting sqref="V3:V252">
    <cfRule type="expression" priority="2" aboveAverage="0" equalAverage="0" bottom="0" percent="0" rank="0" text="" dxfId="8">
      <formula>V3&lt;&gt;""</formula>
    </cfRule>
  </conditionalFormatting>
  <conditionalFormatting sqref="T3:T252">
    <cfRule type="expression" priority="3" aboveAverage="0" equalAverage="0" bottom="0" percent="0" rank="0" text="" dxfId="9">
      <formula>T3="U1"</formula>
    </cfRule>
  </conditionalFormatting>
  <dataValidations count="1">
    <dataValidation allowBlank="true" errorStyle="stop" operator="between" showDropDown="false" showErrorMessage="false" showInputMessage="false" sqref="C3:C252" type="list">
      <formula1>ModelList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K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38" t="s">
        <v>453</v>
      </c>
      <c r="B1" s="38"/>
      <c r="C1" s="38"/>
      <c r="D1" s="38"/>
      <c r="E1" s="38"/>
      <c r="F1" s="38"/>
      <c r="G1" s="38"/>
      <c r="H1" s="38"/>
      <c r="I1" s="38"/>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Kandy 03</v>
      </c>
      <c r="D3" s="26" t="str">
        <f aca="false">IF($K3="","",INDEX('All Devices (Master)'!$F:$F,$K3))</f>
        <v>6335173400003</v>
      </c>
      <c r="E3" s="26" t="str">
        <f aca="false">IF($K3="","",INDEX('All Devices (Master)'!$G:$G,$K3))</f>
        <v>Working</v>
      </c>
      <c r="F3" s="26" t="str">
        <f aca="false">IF($K3="","",IF(INDEX('All Devices (Master)'!$H:$H,$K3)=0,"",INDEX('All Devices (Master)'!$H:$H,$K3)))</f>
        <v/>
      </c>
      <c r="G3" s="26" t="str">
        <f aca="false">IF($K3="","",IF(INDEX('All Devices (Master)'!$I:$I,$K3)=0,"",INDEX('All Devices (Master)'!$I:$I,$K3)))</f>
        <v/>
      </c>
      <c r="H3" s="26" t="str">
        <f aca="false">IF($K3="","",IF(INDEX('All Devices (Master)'!$J:$J,$K3)=0,"",INDEX('All Devices (Master)'!$J:$J,$K3)))</f>
        <v>Colour</v>
      </c>
      <c r="I3" s="26" t="str">
        <f aca="false">IF($K3="","",INDEX('All Devices (Master)'!$V:$V,$K3))</f>
        <v/>
      </c>
      <c r="K3" s="1" t="n">
        <f aca="false">IFERROR(MATCH("W-"&amp;1,'All Devices (Master)'!$U:$U,0),"")</f>
        <v>4</v>
      </c>
    </row>
    <row r="4" customFormat="false" ht="15" hidden="false" customHeight="true" outlineLevel="0" collapsed="false">
      <c r="A4" s="40" t="n">
        <f aca="false">IF($K4="","",2)</f>
        <v>2</v>
      </c>
      <c r="B4" s="32" t="str">
        <f aca="false">IF($K4="","",INDEX('All Devices (Master)'!$D:$D,$K4))</f>
        <v>X628</v>
      </c>
      <c r="C4" s="32" t="str">
        <f aca="false">IF($K4="","",INDEX('All Devices (Master)'!$E:$E,$K4))</f>
        <v>Kandy - KCC</v>
      </c>
      <c r="D4" s="32" t="str">
        <f aca="false">IF($K4="","",INDEX('All Devices (Master)'!$F:$F,$K4))</f>
        <v>6006144100022</v>
      </c>
      <c r="E4" s="32" t="str">
        <f aca="false">IF($K4="","",INDEX('All Devices (Master)'!$G:$G,$K4))</f>
        <v>Working</v>
      </c>
      <c r="F4" s="32" t="str">
        <f aca="false">IF($K4="","",IF(INDEX('All Devices (Master)'!$H:$H,$K4)=0,"",INDEX('All Devices (Master)'!$H:$H,$K4)))</f>
        <v/>
      </c>
      <c r="G4" s="32" t="str">
        <f aca="false">IF($K4="","",IF(INDEX('All Devices (Master)'!$I:$I,$K4)=0,"",INDEX('All Devices (Master)'!$I:$I,$K4)))</f>
        <v/>
      </c>
      <c r="H4" s="32" t="str">
        <f aca="false">IF($K4="","",IF(INDEX('All Devices (Master)'!$J:$J,$K4)=0,"",INDEX('All Devices (Master)'!$J:$J,$K4)))</f>
        <v>Black &amp; White</v>
      </c>
      <c r="I4" s="32" t="str">
        <f aca="false">IF($K4="","",INDEX('All Devices (Master)'!$V:$V,$K4))</f>
        <v/>
      </c>
      <c r="K4" s="1" t="n">
        <f aca="false">IFERROR(MATCH("W-"&amp;2,'All Devices (Master)'!$U:$U,0),"")</f>
        <v>5</v>
      </c>
    </row>
    <row r="5" customFormat="false" ht="15" hidden="false" customHeight="true" outlineLevel="0" collapsed="false">
      <c r="A5" s="39" t="n">
        <f aca="false">IF($K5="","",3)</f>
        <v>3</v>
      </c>
      <c r="B5" s="26" t="str">
        <f aca="false">IF($K5="","",INDEX('All Devices (Master)'!$D:$D,$K5))</f>
        <v>X628</v>
      </c>
      <c r="C5" s="26" t="str">
        <f aca="false">IF($K5="","",INDEX('All Devices (Master)'!$E:$E,$K5))</f>
        <v>Kegalle</v>
      </c>
      <c r="D5" s="26" t="str">
        <f aca="false">IF($K5="","",INDEX('All Devices (Master)'!$F:$F,$K5))</f>
        <v>6006171200007</v>
      </c>
      <c r="E5" s="26" t="str">
        <f aca="false">IF($K5="","",INDEX('All Devices (Master)'!$G:$G,$K5))</f>
        <v>Working</v>
      </c>
      <c r="F5" s="26" t="str">
        <f aca="false">IF($K5="","",IF(INDEX('All Devices (Master)'!$H:$H,$K5)=0,"",INDEX('All Devices (Master)'!$H:$H,$K5)))</f>
        <v/>
      </c>
      <c r="G5" s="26" t="str">
        <f aca="false">IF($K5="","",IF(INDEX('All Devices (Master)'!$I:$I,$K5)=0,"",INDEX('All Devices (Master)'!$I:$I,$K5)))</f>
        <v/>
      </c>
      <c r="H5" s="26" t="str">
        <f aca="false">IF($K5="","",IF(INDEX('All Devices (Master)'!$J:$J,$K5)=0,"",INDEX('All Devices (Master)'!$J:$J,$K5)))</f>
        <v>Black &amp; White</v>
      </c>
      <c r="I5" s="26" t="str">
        <f aca="false">IF($K5="","",INDEX('All Devices (Master)'!$V:$V,$K5))</f>
        <v/>
      </c>
      <c r="K5" s="1" t="n">
        <f aca="false">IFERROR(MATCH("W-"&amp;3,'All Devices (Master)'!$U:$U,0),"")</f>
        <v>6</v>
      </c>
    </row>
    <row r="6" customFormat="false" ht="15" hidden="false" customHeight="true" outlineLevel="0" collapsed="false">
      <c r="A6" s="40" t="n">
        <f aca="false">IF($K6="","",4)</f>
        <v>4</v>
      </c>
      <c r="B6" s="32" t="str">
        <f aca="false">IF($K6="","",INDEX('All Devices (Master)'!$D:$D,$K6))</f>
        <v>X628</v>
      </c>
      <c r="C6" s="32" t="str">
        <f aca="false">IF($K6="","",INDEX('All Devices (Master)'!$E:$E,$K6))</f>
        <v>Negambo- Thelwaththa</v>
      </c>
      <c r="D6" s="32" t="str">
        <f aca="false">IF($K6="","",INDEX('All Devices (Master)'!$F:$F,$K6))</f>
        <v>CDQ9200760081</v>
      </c>
      <c r="E6" s="32" t="str">
        <f aca="false">IF($K6="","",INDEX('All Devices (Master)'!$G:$G,$K6))</f>
        <v>Working</v>
      </c>
      <c r="F6" s="32" t="str">
        <f aca="false">IF($K6="","",IF(INDEX('All Devices (Master)'!$H:$H,$K6)=0,"",INDEX('All Devices (Master)'!$H:$H,$K6)))</f>
        <v/>
      </c>
      <c r="G6" s="32" t="str">
        <f aca="false">IF($K6="","",IF(INDEX('All Devices (Master)'!$I:$I,$K6)=0,"",INDEX('All Devices (Master)'!$I:$I,$K6)))</f>
        <v/>
      </c>
      <c r="H6" s="32" t="str">
        <f aca="false">IF($K6="","",IF(INDEX('All Devices (Master)'!$J:$J,$K6)=0,"",INDEX('All Devices (Master)'!$J:$J,$K6)))</f>
        <v>Colour</v>
      </c>
      <c r="I6" s="32" t="str">
        <f aca="false">IF($K6="","",INDEX('All Devices (Master)'!$V:$V,$K6))</f>
        <v/>
      </c>
      <c r="K6" s="1" t="n">
        <f aca="false">IFERROR(MATCH("W-"&amp;4,'All Devices (Master)'!$U:$U,0),"")</f>
        <v>7</v>
      </c>
    </row>
    <row r="7" customFormat="false" ht="15" hidden="false" customHeight="true" outlineLevel="0" collapsed="false">
      <c r="A7" s="39" t="n">
        <f aca="false">IF($K7="","",5)</f>
        <v>5</v>
      </c>
      <c r="B7" s="26" t="str">
        <f aca="false">IF($K7="","",INDEX('All Devices (Master)'!$D:$D,$K7))</f>
        <v>X628</v>
      </c>
      <c r="C7" s="26" t="str">
        <f aca="false">IF($K7="","",INDEX('All Devices (Master)'!$E:$E,$K7))</f>
        <v>Negambo- Kurana</v>
      </c>
      <c r="D7" s="26" t="str">
        <f aca="false">IF($K7="","",INDEX('All Devices (Master)'!$F:$F,$K7))</f>
        <v>CDQ9200760084</v>
      </c>
      <c r="E7" s="26" t="str">
        <f aca="false">IF($K7="","",INDEX('All Devices (Master)'!$G:$G,$K7))</f>
        <v>Working</v>
      </c>
      <c r="F7" s="26" t="str">
        <f aca="false">IF($K7="","",IF(INDEX('All Devices (Master)'!$H:$H,$K7)=0,"",INDEX('All Devices (Master)'!$H:$H,$K7)))</f>
        <v/>
      </c>
      <c r="G7" s="26" t="str">
        <f aca="false">IF($K7="","",IF(INDEX('All Devices (Master)'!$I:$I,$K7)=0,"",INDEX('All Devices (Master)'!$I:$I,$K7)))</f>
        <v/>
      </c>
      <c r="H7" s="26" t="str">
        <f aca="false">IF($K7="","",IF(INDEX('All Devices (Master)'!$J:$J,$K7)=0,"",INDEX('All Devices (Master)'!$J:$J,$K7)))</f>
        <v>Colour</v>
      </c>
      <c r="I7" s="26" t="str">
        <f aca="false">IF($K7="","",INDEX('All Devices (Master)'!$V:$V,$K7))</f>
        <v/>
      </c>
      <c r="K7" s="1" t="n">
        <f aca="false">IFERROR(MATCH("W-"&amp;5,'All Devices (Master)'!$U:$U,0),"")</f>
        <v>10</v>
      </c>
    </row>
    <row r="8" customFormat="false" ht="15" hidden="false" customHeight="true" outlineLevel="0" collapsed="false">
      <c r="A8" s="40" t="n">
        <f aca="false">IF($K8="","",6)</f>
        <v>6</v>
      </c>
      <c r="B8" s="32" t="str">
        <f aca="false">IF($K8="","",INDEX('All Devices (Master)'!$D:$D,$K8))</f>
        <v>TX628</v>
      </c>
      <c r="C8" s="32" t="str">
        <f aca="false">IF($K8="","",INDEX('All Devices (Master)'!$E:$E,$K8))</f>
        <v>Kirillawela</v>
      </c>
      <c r="D8" s="32" t="str">
        <f aca="false">IF($K8="","",INDEX('All Devices (Master)'!$F:$F,$K8))</f>
        <v>6160062164907</v>
      </c>
      <c r="E8" s="32" t="str">
        <f aca="false">IF($K8="","",INDEX('All Devices (Master)'!$G:$G,$K8))</f>
        <v>Working</v>
      </c>
      <c r="F8" s="32" t="str">
        <f aca="false">IF($K8="","",IF(INDEX('All Devices (Master)'!$H:$H,$K8)=0,"",INDEX('All Devices (Master)'!$H:$H,$K8)))</f>
        <v/>
      </c>
      <c r="G8" s="32" t="str">
        <f aca="false">IF($K8="","",IF(INDEX('All Devices (Master)'!$I:$I,$K8)=0,"",INDEX('All Devices (Master)'!$I:$I,$K8)))</f>
        <v/>
      </c>
      <c r="H8" s="32" t="str">
        <f aca="false">IF($K8="","",IF(INDEX('All Devices (Master)'!$J:$J,$K8)=0,"",INDEX('All Devices (Master)'!$J:$J,$K8)))</f>
        <v>Colour</v>
      </c>
      <c r="I8" s="32" t="str">
        <f aca="false">IF($K8="","",INDEX('All Devices (Master)'!$V:$V,$K8))</f>
        <v/>
      </c>
      <c r="K8" s="1" t="n">
        <f aca="false">IFERROR(MATCH("W-"&amp;6,'All Devices (Master)'!$U:$U,0),"")</f>
        <v>12</v>
      </c>
    </row>
    <row r="9" customFormat="false" ht="15" hidden="false" customHeight="true" outlineLevel="0" collapsed="false">
      <c r="A9" s="39" t="n">
        <f aca="false">IF($K9="","",7)</f>
        <v>7</v>
      </c>
      <c r="B9" s="26" t="str">
        <f aca="false">IF($K9="","",INDEX('All Devices (Master)'!$D:$D,$K9))</f>
        <v>X628</v>
      </c>
      <c r="C9" s="26" t="str">
        <f aca="false">IF($K9="","",INDEX('All Devices (Master)'!$E:$E,$K9))</f>
        <v>Gampaha</v>
      </c>
      <c r="D9" s="26" t="str">
        <f aca="false">IF($K9="","",INDEX('All Devices (Master)'!$F:$F,$K9))</f>
        <v>A5RN174660002</v>
      </c>
      <c r="E9" s="26" t="str">
        <f aca="false">IF($K9="","",INDEX('All Devices (Master)'!$G:$G,$K9))</f>
        <v>Working</v>
      </c>
      <c r="F9" s="26" t="str">
        <f aca="false">IF($K9="","",IF(INDEX('All Devices (Master)'!$H:$H,$K9)=0,"",INDEX('All Devices (Master)'!$H:$H,$K9)))</f>
        <v/>
      </c>
      <c r="G9" s="26" t="str">
        <f aca="false">IF($K9="","",IF(INDEX('All Devices (Master)'!$I:$I,$K9)=0,"",INDEX('All Devices (Master)'!$I:$I,$K9)))</f>
        <v/>
      </c>
      <c r="H9" s="26" t="str">
        <f aca="false">IF($K9="","",IF(INDEX('All Devices (Master)'!$J:$J,$K9)=0,"",INDEX('All Devices (Master)'!$J:$J,$K9)))</f>
        <v>Black &amp; White</v>
      </c>
      <c r="I9" s="26" t="str">
        <f aca="false">IF($K9="","",INDEX('All Devices (Master)'!$V:$V,$K9))</f>
        <v/>
      </c>
      <c r="K9" s="1" t="n">
        <f aca="false">IFERROR(MATCH("W-"&amp;7,'All Devices (Master)'!$U:$U,0),"")</f>
        <v>14</v>
      </c>
    </row>
    <row r="10" customFormat="false" ht="15" hidden="false" customHeight="true" outlineLevel="0" collapsed="false">
      <c r="A10" s="40" t="n">
        <f aca="false">IF($K10="","",8)</f>
        <v>8</v>
      </c>
      <c r="B10" s="32" t="str">
        <f aca="false">IF($K10="","",INDEX('All Devices (Master)'!$D:$D,$K10))</f>
        <v>X628</v>
      </c>
      <c r="C10" s="32" t="str">
        <f aca="false">IF($K10="","",INDEX('All Devices (Master)'!$E:$E,$K10))</f>
        <v>Ganemulla</v>
      </c>
      <c r="D10" s="32" t="str">
        <f aca="false">IF($K10="","",INDEX('All Devices (Master)'!$F:$F,$K10))</f>
        <v>AEG8243600005</v>
      </c>
      <c r="E10" s="32" t="str">
        <f aca="false">IF($K10="","",INDEX('All Devices (Master)'!$G:$G,$K10))</f>
        <v>Working</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Colour</v>
      </c>
      <c r="I10" s="32" t="str">
        <f aca="false">IF($K10="","",INDEX('All Devices (Master)'!$V:$V,$K10))</f>
        <v/>
      </c>
      <c r="K10" s="1" t="n">
        <f aca="false">IFERROR(MATCH("W-"&amp;8,'All Devices (Master)'!$U:$U,0),"")</f>
        <v>17</v>
      </c>
    </row>
    <row r="11" customFormat="false" ht="15" hidden="false" customHeight="true" outlineLevel="0" collapsed="false">
      <c r="A11" s="39" t="n">
        <f aca="false">IF($K11="","",9)</f>
        <v>9</v>
      </c>
      <c r="B11" s="26" t="str">
        <f aca="false">IF($K11="","",INDEX('All Devices (Master)'!$D:$D,$K11))</f>
        <v>TX628</v>
      </c>
      <c r="C11" s="26" t="str">
        <f aca="false">IF($K11="","",INDEX('All Devices (Master)'!$E:$E,$K11))</f>
        <v>Yakkala</v>
      </c>
      <c r="D11" s="26" t="str">
        <f aca="false">IF($K11="","",INDEX('All Devices (Master)'!$F:$F,$K11))</f>
        <v>AEYW092380605</v>
      </c>
      <c r="E11" s="26" t="str">
        <f aca="false">IF($K11="","",INDEX('All Devices (Master)'!$G:$G,$K11))</f>
        <v>Working</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Colour</v>
      </c>
      <c r="I11" s="26" t="str">
        <f aca="false">IF($K11="","",INDEX('All Devices (Master)'!$V:$V,$K11))</f>
        <v/>
      </c>
      <c r="K11" s="1" t="n">
        <f aca="false">IFERROR(MATCH("W-"&amp;9,'All Devices (Master)'!$U:$U,0),"")</f>
        <v>18</v>
      </c>
    </row>
    <row r="12" customFormat="false" ht="15" hidden="false" customHeight="true" outlineLevel="0" collapsed="false">
      <c r="A12" s="40" t="n">
        <f aca="false">IF($K12="","",10)</f>
        <v>10</v>
      </c>
      <c r="B12" s="32" t="str">
        <f aca="false">IF($K12="","",INDEX('All Devices (Master)'!$D:$D,$K12))</f>
        <v>X628</v>
      </c>
      <c r="C12" s="32" t="str">
        <f aca="false">IF($K12="","",INDEX('All Devices (Master)'!$E:$E,$K12))</f>
        <v>Miriswaththa</v>
      </c>
      <c r="D12" s="32" t="str">
        <f aca="false">IF($K12="","",INDEX('All Devices (Master)'!$F:$F,$K12))</f>
        <v>CDQ9192160004</v>
      </c>
      <c r="E12" s="32" t="str">
        <f aca="false">IF($K12="","",INDEX('All Devices (Master)'!$G:$G,$K12))</f>
        <v>Working</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Colour</v>
      </c>
      <c r="I12" s="32" t="str">
        <f aca="false">IF($K12="","",INDEX('All Devices (Master)'!$V:$V,$K12))</f>
        <v/>
      </c>
      <c r="K12" s="1" t="n">
        <f aca="false">IFERROR(MATCH("W-"&amp;10,'All Devices (Master)'!$U:$U,0),"")</f>
        <v>19</v>
      </c>
    </row>
    <row r="13" customFormat="false" ht="15" hidden="false" customHeight="true" outlineLevel="0" collapsed="false">
      <c r="A13" s="39" t="n">
        <f aca="false">IF($K13="","",11)</f>
        <v>11</v>
      </c>
      <c r="B13" s="26" t="str">
        <f aca="false">IF($K13="","",INDEX('All Devices (Master)'!$D:$D,$K13))</f>
        <v>TX628</v>
      </c>
      <c r="C13" s="26" t="str">
        <f aca="false">IF($K13="","",INDEX('All Devices (Master)'!$E:$E,$K13))</f>
        <v>Anuradhapura</v>
      </c>
      <c r="D13" s="26" t="str">
        <f aca="false">IF($K13="","",INDEX('All Devices (Master)'!$F:$F,$K13))</f>
        <v>6160062164904</v>
      </c>
      <c r="E13" s="26" t="str">
        <f aca="false">IF($K13="","",INDEX('All Devices (Master)'!$G:$G,$K13))</f>
        <v>Working</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Colour</v>
      </c>
      <c r="I13" s="26" t="str">
        <f aca="false">IF($K13="","",INDEX('All Devices (Master)'!$V:$V,$K13))</f>
        <v/>
      </c>
      <c r="K13" s="1" t="n">
        <f aca="false">IFERROR(MATCH("W-"&amp;11,'All Devices (Master)'!$U:$U,0),"")</f>
        <v>23</v>
      </c>
    </row>
    <row r="14" customFormat="false" ht="15" hidden="false" customHeight="true" outlineLevel="0" collapsed="false">
      <c r="A14" s="40" t="n">
        <f aca="false">IF($K14="","",12)</f>
        <v>12</v>
      </c>
      <c r="B14" s="32" t="str">
        <f aca="false">IF($K14="","",INDEX('All Devices (Master)'!$D:$D,$K14))</f>
        <v>X628-C</v>
      </c>
      <c r="C14" s="32" t="str">
        <f aca="false">IF($K14="","",INDEX('All Devices (Master)'!$E:$E,$K14))</f>
        <v>Piliyandala 02</v>
      </c>
      <c r="D14" s="32" t="str">
        <f aca="false">IF($K14="","",INDEX('All Devices (Master)'!$F:$F,$K14))</f>
        <v>6335172500115</v>
      </c>
      <c r="E14" s="32" t="str">
        <f aca="false">IF($K14="","",INDEX('All Devices (Master)'!$G:$G,$K14))</f>
        <v>Working</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Colour</v>
      </c>
      <c r="I14" s="32" t="str">
        <f aca="false">IF($K14="","",INDEX('All Devices (Master)'!$V:$V,$K14))</f>
        <v/>
      </c>
      <c r="K14" s="1" t="n">
        <f aca="false">IFERROR(MATCH("W-"&amp;12,'All Devices (Master)'!$U:$U,0),"")</f>
        <v>25</v>
      </c>
    </row>
    <row r="15" customFormat="false" ht="15" hidden="false" customHeight="true" outlineLevel="0" collapsed="false">
      <c r="A15" s="39" t="n">
        <f aca="false">IF($K15="","",13)</f>
        <v>13</v>
      </c>
      <c r="B15" s="26" t="str">
        <f aca="false">IF($K15="","",INDEX('All Devices (Master)'!$D:$D,$K15))</f>
        <v>X628</v>
      </c>
      <c r="C15" s="26" t="str">
        <f aca="false">IF($K15="","",INDEX('All Devices (Master)'!$E:$E,$K15))</f>
        <v>Mathale</v>
      </c>
      <c r="D15" s="26" t="str">
        <f aca="false">IF($K15="","",INDEX('All Devices (Master)'!$F:$F,$K15))</f>
        <v>A5RN173460004</v>
      </c>
      <c r="E15" s="26" t="str">
        <f aca="false">IF($K15="","",INDEX('All Devices (Master)'!$G:$G,$K15))</f>
        <v>Working</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Colour</v>
      </c>
      <c r="I15" s="26" t="str">
        <f aca="false">IF($K15="","",INDEX('All Devices (Master)'!$V:$V,$K15))</f>
        <v/>
      </c>
      <c r="K15" s="1" t="n">
        <f aca="false">IFERROR(MATCH("W-"&amp;13,'All Devices (Master)'!$U:$U,0),"")</f>
        <v>26</v>
      </c>
    </row>
    <row r="16" customFormat="false" ht="15" hidden="false" customHeight="true" outlineLevel="0" collapsed="false">
      <c r="A16" s="40" t="n">
        <f aca="false">IF($K16="","",14)</f>
        <v>14</v>
      </c>
      <c r="B16" s="32" t="str">
        <f aca="false">IF($K16="","",INDEX('All Devices (Master)'!$D:$D,$K16))</f>
        <v>X628</v>
      </c>
      <c r="C16" s="32" t="str">
        <f aca="false">IF($K16="","",INDEX('All Devices (Master)'!$E:$E,$K16))</f>
        <v>Mathale 02</v>
      </c>
      <c r="D16" s="32" t="str">
        <f aca="false">IF($K16="","",INDEX('All Devices (Master)'!$F:$F,$K16))</f>
        <v>6335183600001</v>
      </c>
      <c r="E16" s="32" t="str">
        <f aca="false">IF($K16="","",INDEX('All Devices (Master)'!$G:$G,$K16))</f>
        <v>Working</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Colour</v>
      </c>
      <c r="I16" s="32" t="str">
        <f aca="false">IF($K16="","",INDEX('All Devices (Master)'!$V:$V,$K16))</f>
        <v/>
      </c>
      <c r="K16" s="1" t="n">
        <f aca="false">IFERROR(MATCH("W-"&amp;14,'All Devices (Master)'!$U:$U,0),"")</f>
        <v>28</v>
      </c>
    </row>
    <row r="17" customFormat="false" ht="15" hidden="false" customHeight="true" outlineLevel="0" collapsed="false">
      <c r="A17" s="39" t="n">
        <f aca="false">IF($K17="","",15)</f>
        <v>15</v>
      </c>
      <c r="B17" s="26" t="str">
        <f aca="false">IF($K17="","",INDEX('All Devices (Master)'!$D:$D,$K17))</f>
        <v>X628-C</v>
      </c>
      <c r="C17" s="26" t="str">
        <f aca="false">IF($K17="","",INDEX('All Devices (Master)'!$E:$E,$K17))</f>
        <v>Shangri La</v>
      </c>
      <c r="D17" s="26" t="str">
        <f aca="false">IF($K17="","",INDEX('All Devices (Master)'!$F:$F,$K17))</f>
        <v>CDQ9191460006</v>
      </c>
      <c r="E17" s="26" t="str">
        <f aca="false">IF($K17="","",INDEX('All Devices (Master)'!$G:$G,$K17))</f>
        <v>Working</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Colour</v>
      </c>
      <c r="I17" s="26" t="str">
        <f aca="false">IF($K17="","",INDEX('All Devices (Master)'!$V:$V,$K17))</f>
        <v/>
      </c>
      <c r="K17" s="1" t="n">
        <f aca="false">IFERROR(MATCH("W-"&amp;15,'All Devices (Master)'!$U:$U,0),"")</f>
        <v>30</v>
      </c>
    </row>
    <row r="18" customFormat="false" ht="15" hidden="false" customHeight="true" outlineLevel="0" collapsed="false">
      <c r="A18" s="40" t="n">
        <f aca="false">IF($K18="","",16)</f>
        <v>16</v>
      </c>
      <c r="B18" s="32" t="str">
        <f aca="false">IF($K18="","",INDEX('All Devices (Master)'!$D:$D,$K18))</f>
        <v>X628</v>
      </c>
      <c r="C18" s="32" t="str">
        <f aca="false">IF($K18="","",INDEX('All Devices (Master)'!$E:$E,$K18))</f>
        <v>Katugasthota 02</v>
      </c>
      <c r="D18" s="32" t="str">
        <f aca="false">IF($K18="","",INDEX('All Devices (Master)'!$F:$F,$K18))</f>
        <v>6006171200004</v>
      </c>
      <c r="E18" s="32" t="str">
        <f aca="false">IF($K18="","",INDEX('All Devices (Master)'!$G:$G,$K18))</f>
        <v>Working</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Black &amp; White</v>
      </c>
      <c r="I18" s="32" t="str">
        <f aca="false">IF($K18="","",INDEX('All Devices (Master)'!$V:$V,$K18))</f>
        <v/>
      </c>
      <c r="K18" s="1" t="n">
        <f aca="false">IFERROR(MATCH("W-"&amp;16,'All Devices (Master)'!$U:$U,0),"")</f>
        <v>31</v>
      </c>
    </row>
    <row r="19" customFormat="false" ht="15" hidden="false" customHeight="true" outlineLevel="0" collapsed="false">
      <c r="A19" s="39" t="n">
        <f aca="false">IF($K19="","",17)</f>
        <v>17</v>
      </c>
      <c r="B19" s="26" t="str">
        <f aca="false">IF($K19="","",INDEX('All Devices (Master)'!$D:$D,$K19))</f>
        <v>X628</v>
      </c>
      <c r="C19" s="26" t="str">
        <f aca="false">IF($K19="","",INDEX('All Devices (Master)'!$E:$E,$K19))</f>
        <v>Katugasthota</v>
      </c>
      <c r="D19" s="26" t="str">
        <f aca="false">IF($K19="","",INDEX('All Devices (Master)'!$F:$F,$K19))</f>
        <v>6006173400006</v>
      </c>
      <c r="E19" s="26" t="str">
        <f aca="false">IF($K19="","",INDEX('All Devices (Master)'!$G:$G,$K19))</f>
        <v>Working</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Black &amp; White</v>
      </c>
      <c r="I19" s="26" t="str">
        <f aca="false">IF($K19="","",INDEX('All Devices (Master)'!$V:$V,$K19))</f>
        <v/>
      </c>
      <c r="K19" s="1" t="n">
        <f aca="false">IFERROR(MATCH("W-"&amp;17,'All Devices (Master)'!$U:$U,0),"")</f>
        <v>33</v>
      </c>
    </row>
    <row r="20" customFormat="false" ht="15" hidden="false" customHeight="true" outlineLevel="0" collapsed="false">
      <c r="A20" s="40" t="n">
        <f aca="false">IF($K20="","",18)</f>
        <v>18</v>
      </c>
      <c r="B20" s="32" t="str">
        <f aca="false">IF($K20="","",INDEX('All Devices (Master)'!$D:$D,$K20))</f>
        <v>X628</v>
      </c>
      <c r="C20" s="32" t="str">
        <f aca="false">IF($K20="","",INDEX('All Devices (Master)'!$E:$E,$K20))</f>
        <v>Ja ela 02</v>
      </c>
      <c r="D20" s="32" t="str">
        <f aca="false">IF($K20="","",INDEX('All Devices (Master)'!$F:$F,$K20))</f>
        <v>AEG8243600001</v>
      </c>
      <c r="E20" s="32" t="str">
        <f aca="false">IF($K20="","",INDEX('All Devices (Master)'!$G:$G,$K20))</f>
        <v>Working</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Colour</v>
      </c>
      <c r="I20" s="32" t="str">
        <f aca="false">IF($K20="","",INDEX('All Devices (Master)'!$V:$V,$K20))</f>
        <v/>
      </c>
      <c r="K20" s="1" t="n">
        <f aca="false">IFERROR(MATCH("W-"&amp;18,'All Devices (Master)'!$U:$U,0),"")</f>
        <v>35</v>
      </c>
    </row>
    <row r="21" customFormat="false" ht="15" hidden="false" customHeight="true" outlineLevel="0" collapsed="false">
      <c r="A21" s="39" t="n">
        <f aca="false">IF($K21="","",19)</f>
        <v>19</v>
      </c>
      <c r="B21" s="26" t="str">
        <f aca="false">IF($K21="","",INDEX('All Devices (Master)'!$D:$D,$K21))</f>
        <v>X628-C</v>
      </c>
      <c r="C21" s="26" t="str">
        <f aca="false">IF($K21="","",INDEX('All Devices (Master)'!$E:$E,$K21))</f>
        <v>Mawanella</v>
      </c>
      <c r="D21" s="26" t="str">
        <f aca="false">IF($K21="","",INDEX('All Devices (Master)'!$F:$F,$K21))</f>
        <v>CDQ9200760082</v>
      </c>
      <c r="E21" s="26" t="str">
        <f aca="false">IF($K21="","",INDEX('All Devices (Master)'!$G:$G,$K21))</f>
        <v>Working</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Colour</v>
      </c>
      <c r="I21" s="26" t="str">
        <f aca="false">IF($K21="","",INDEX('All Devices (Master)'!$V:$V,$K21))</f>
        <v/>
      </c>
      <c r="K21" s="1" t="n">
        <f aca="false">IFERROR(MATCH("W-"&amp;19,'All Devices (Master)'!$U:$U,0),"")</f>
        <v>36</v>
      </c>
    </row>
    <row r="22" customFormat="false" ht="15" hidden="false" customHeight="true" outlineLevel="0" collapsed="false">
      <c r="A22" s="40" t="n">
        <f aca="false">IF($K22="","",20)</f>
        <v>20</v>
      </c>
      <c r="B22" s="32" t="str">
        <f aca="false">IF($K22="","",INDEX('All Devices (Master)'!$D:$D,$K22))</f>
        <v>TX628</v>
      </c>
      <c r="C22" s="32" t="str">
        <f aca="false">IF($K22="","",INDEX('All Devices (Master)'!$E:$E,$K22))</f>
        <v>Sinharamulla</v>
      </c>
      <c r="D22" s="32" t="str">
        <f aca="false">IF($K22="","",INDEX('All Devices (Master)'!$F:$F,$K22))</f>
        <v>6160052016817</v>
      </c>
      <c r="E22" s="32" t="str">
        <f aca="false">IF($K22="","",INDEX('All Devices (Master)'!$G:$G,$K22))</f>
        <v>Working</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Colour</v>
      </c>
      <c r="I22" s="32" t="str">
        <f aca="false">IF($K22="","",INDEX('All Devices (Master)'!$V:$V,$K22))</f>
        <v/>
      </c>
      <c r="K22" s="1" t="n">
        <f aca="false">IFERROR(MATCH("W-"&amp;20,'All Devices (Master)'!$U:$U,0),"")</f>
        <v>38</v>
      </c>
    </row>
    <row r="23" customFormat="false" ht="15" hidden="false" customHeight="true" outlineLevel="0" collapsed="false">
      <c r="A23" s="39" t="n">
        <f aca="false">IF($K23="","",21)</f>
        <v>21</v>
      </c>
      <c r="B23" s="26" t="str">
        <f aca="false">IF($K23="","",INDEX('All Devices (Master)'!$D:$D,$K23))</f>
        <v>iClock700</v>
      </c>
      <c r="C23" s="26" t="str">
        <f aca="false">IF($K23="","",INDEX('All Devices (Master)'!$E:$E,$K23))</f>
        <v>Kadawatha Support Center</v>
      </c>
      <c r="D23" s="26" t="str">
        <f aca="false">IF($K23="","",INDEX('All Devices (Master)'!$F:$F,$K23))</f>
        <v>4903184700003</v>
      </c>
      <c r="E23" s="26" t="str">
        <f aca="false">IF($K23="","",INDEX('All Devices (Master)'!$G:$G,$K23))</f>
        <v>Working</v>
      </c>
      <c r="F23" s="26" t="str">
        <f aca="false">IF($K23="","",IF(INDEX('All Devices (Master)'!$H:$H,$K23)=0,"",INDEX('All Devices (Master)'!$H:$H,$K23)))</f>
        <v/>
      </c>
      <c r="G23" s="26" t="str">
        <f aca="false">IF($K23="","",IF(INDEX('All Devices (Master)'!$I:$I,$K23)=0,"",INDEX('All Devices (Master)'!$I:$I,$K23)))</f>
        <v/>
      </c>
      <c r="H23" s="26" t="str">
        <f aca="false">IF($K23="","",IF(INDEX('All Devices (Master)'!$J:$J,$K23)=0,"",INDEX('All Devices (Master)'!$J:$J,$K23)))</f>
        <v>Colour</v>
      </c>
      <c r="I23" s="26" t="str">
        <f aca="false">IF($K23="","",INDEX('All Devices (Master)'!$V:$V,$K23))</f>
        <v/>
      </c>
      <c r="K23" s="1" t="n">
        <f aca="false">IFERROR(MATCH("W-"&amp;21,'All Devices (Master)'!$U:$U,0),"")</f>
        <v>39</v>
      </c>
    </row>
    <row r="24" customFormat="false" ht="15" hidden="false" customHeight="true" outlineLevel="0" collapsed="false">
      <c r="A24" s="40" t="n">
        <f aca="false">IF($K24="","",22)</f>
        <v>22</v>
      </c>
      <c r="B24" s="32" t="str">
        <f aca="false">IF($K24="","",INDEX('All Devices (Master)'!$D:$D,$K24))</f>
        <v>TX628</v>
      </c>
      <c r="C24" s="32" t="str">
        <f aca="false">IF($K24="","",INDEX('All Devices (Master)'!$E:$E,$K24))</f>
        <v>Kudaoya</v>
      </c>
      <c r="D24" s="32" t="str">
        <f aca="false">IF($K24="","",INDEX('All Devices (Master)'!$F:$F,$K24))</f>
        <v>AEYW092380603</v>
      </c>
      <c r="E24" s="32" t="str">
        <f aca="false">IF($K24="","",INDEX('All Devices (Master)'!$G:$G,$K24))</f>
        <v>Working</v>
      </c>
      <c r="F24" s="32" t="str">
        <f aca="false">IF($K24="","",IF(INDEX('All Devices (Master)'!$H:$H,$K24)=0,"",INDEX('All Devices (Master)'!$H:$H,$K24)))</f>
        <v/>
      </c>
      <c r="G24" s="32" t="str">
        <f aca="false">IF($K24="","",IF(INDEX('All Devices (Master)'!$I:$I,$K24)=0,"",INDEX('All Devices (Master)'!$I:$I,$K24)))</f>
        <v/>
      </c>
      <c r="H24" s="32" t="str">
        <f aca="false">IF($K24="","",IF(INDEX('All Devices (Master)'!$J:$J,$K24)=0,"",INDEX('All Devices (Master)'!$J:$J,$K24)))</f>
        <v>Colour</v>
      </c>
      <c r="I24" s="32" t="str">
        <f aca="false">IF($K24="","",INDEX('All Devices (Master)'!$V:$V,$K24))</f>
        <v/>
      </c>
      <c r="K24" s="1" t="n">
        <f aca="false">IFERROR(MATCH("W-"&amp;22,'All Devices (Master)'!$U:$U,0),"")</f>
        <v>41</v>
      </c>
    </row>
    <row r="25" customFormat="false" ht="15" hidden="false" customHeight="true" outlineLevel="0" collapsed="false">
      <c r="A25" s="39" t="n">
        <f aca="false">IF($K25="","",23)</f>
        <v>23</v>
      </c>
      <c r="B25" s="26" t="str">
        <f aca="false">IF($K25="","",INDEX('All Devices (Master)'!$D:$D,$K25))</f>
        <v>X628</v>
      </c>
      <c r="C25" s="26" t="str">
        <f aca="false">IF($K25="","",INDEX('All Devices (Master)'!$E:$E,$K25))</f>
        <v>Aluthgama</v>
      </c>
      <c r="D25" s="26" t="str">
        <f aca="false">IF($K25="","",INDEX('All Devices (Master)'!$F:$F,$K25))</f>
        <v>0067072480008</v>
      </c>
      <c r="E25" s="26" t="str">
        <f aca="false">IF($K25="","",INDEX('All Devices (Master)'!$G:$G,$K25))</f>
        <v>Working</v>
      </c>
      <c r="F25" s="26" t="str">
        <f aca="false">IF($K25="","",IF(INDEX('All Devices (Master)'!$H:$H,$K25)=0,"",INDEX('All Devices (Master)'!$H:$H,$K25)))</f>
        <v/>
      </c>
      <c r="G25" s="26" t="str">
        <f aca="false">IF($K25="","",IF(INDEX('All Devices (Master)'!$I:$I,$K25)=0,"",INDEX('All Devices (Master)'!$I:$I,$K25)))</f>
        <v/>
      </c>
      <c r="H25" s="26" t="str">
        <f aca="false">IF($K25="","",IF(INDEX('All Devices (Master)'!$J:$J,$K25)=0,"",INDEX('All Devices (Master)'!$J:$J,$K25)))</f>
        <v>Black &amp; White</v>
      </c>
      <c r="I25" s="26" t="str">
        <f aca="false">IF($K25="","",INDEX('All Devices (Master)'!$V:$V,$K25))</f>
        <v/>
      </c>
      <c r="K25" s="1" t="n">
        <f aca="false">IFERROR(MATCH("W-"&amp;23,'All Devices (Master)'!$U:$U,0),"")</f>
        <v>46</v>
      </c>
    </row>
    <row r="26" customFormat="false" ht="15" hidden="false" customHeight="true" outlineLevel="0" collapsed="false">
      <c r="A26" s="40" t="n">
        <f aca="false">IF($K26="","",24)</f>
        <v>24</v>
      </c>
      <c r="B26" s="32" t="str">
        <f aca="false">IF($K26="","",INDEX('All Devices (Master)'!$D:$D,$K26))</f>
        <v>TX628</v>
      </c>
      <c r="C26" s="32" t="str">
        <f aca="false">IF($K26="","",INDEX('All Devices (Master)'!$E:$E,$K26))</f>
        <v>Ambalangoda</v>
      </c>
      <c r="D26" s="32" t="str">
        <f aca="false">IF($K26="","",INDEX('All Devices (Master)'!$F:$F,$K26))</f>
        <v>6160052016815</v>
      </c>
      <c r="E26" s="32" t="str">
        <f aca="false">IF($K26="","",INDEX('All Devices (Master)'!$G:$G,$K26))</f>
        <v>Working</v>
      </c>
      <c r="F26" s="32" t="str">
        <f aca="false">IF($K26="","",IF(INDEX('All Devices (Master)'!$H:$H,$K26)=0,"",INDEX('All Devices (Master)'!$H:$H,$K26)))</f>
        <v/>
      </c>
      <c r="G26" s="32" t="str">
        <f aca="false">IF($K26="","",IF(INDEX('All Devices (Master)'!$I:$I,$K26)=0,"",INDEX('All Devices (Master)'!$I:$I,$K26)))</f>
        <v/>
      </c>
      <c r="H26" s="32" t="str">
        <f aca="false">IF($K26="","",IF(INDEX('All Devices (Master)'!$J:$J,$K26)=0,"",INDEX('All Devices (Master)'!$J:$J,$K26)))</f>
        <v>Colour</v>
      </c>
      <c r="I26" s="32" t="str">
        <f aca="false">IF($K26="","",INDEX('All Devices (Master)'!$V:$V,$K26))</f>
        <v/>
      </c>
      <c r="K26" s="1" t="n">
        <f aca="false">IFERROR(MATCH("W-"&amp;24,'All Devices (Master)'!$U:$U,0),"")</f>
        <v>48</v>
      </c>
    </row>
    <row r="27" customFormat="false" ht="15" hidden="false" customHeight="true" outlineLevel="0" collapsed="false">
      <c r="A27" s="39" t="n">
        <f aca="false">IF($K27="","",25)</f>
        <v>25</v>
      </c>
      <c r="B27" s="26" t="str">
        <f aca="false">IF($K27="","",INDEX('All Devices (Master)'!$D:$D,$K27))</f>
        <v>X628</v>
      </c>
      <c r="C27" s="26" t="str">
        <f aca="false">IF($K27="","",INDEX('All Devices (Master)'!$E:$E,$K27))</f>
        <v>Puttalama</v>
      </c>
      <c r="D27" s="26" t="str">
        <f aca="false">IF($K27="","",INDEX('All Devices (Master)'!$F:$F,$K27))</f>
        <v>6006154200002</v>
      </c>
      <c r="E27" s="26" t="str">
        <f aca="false">IF($K27="","",INDEX('All Devices (Master)'!$G:$G,$K27))</f>
        <v>Working</v>
      </c>
      <c r="F27" s="26" t="str">
        <f aca="false">IF($K27="","",IF(INDEX('All Devices (Master)'!$H:$H,$K27)=0,"",INDEX('All Devices (Master)'!$H:$H,$K27)))</f>
        <v/>
      </c>
      <c r="G27" s="26" t="str">
        <f aca="false">IF($K27="","",IF(INDEX('All Devices (Master)'!$I:$I,$K27)=0,"",INDEX('All Devices (Master)'!$I:$I,$K27)))</f>
        <v/>
      </c>
      <c r="H27" s="26" t="str">
        <f aca="false">IF($K27="","",IF(INDEX('All Devices (Master)'!$J:$J,$K27)=0,"",INDEX('All Devices (Master)'!$J:$J,$K27)))</f>
        <v>Black &amp; White</v>
      </c>
      <c r="I27" s="26" t="str">
        <f aca="false">IF($K27="","",INDEX('All Devices (Master)'!$V:$V,$K27))</f>
        <v/>
      </c>
      <c r="K27" s="1" t="n">
        <f aca="false">IFERROR(MATCH("W-"&amp;25,'All Devices (Master)'!$U:$U,0),"")</f>
        <v>49</v>
      </c>
    </row>
    <row r="28" customFormat="false" ht="15" hidden="false" customHeight="true" outlineLevel="0" collapsed="false">
      <c r="A28" s="40" t="n">
        <f aca="false">IF($K28="","",26)</f>
        <v>26</v>
      </c>
      <c r="B28" s="32" t="str">
        <f aca="false">IF($K28="","",INDEX('All Devices (Master)'!$D:$D,$K28))</f>
        <v>TX628</v>
      </c>
      <c r="C28" s="32" t="str">
        <f aca="false">IF($K28="","",INDEX('All Devices (Master)'!$E:$E,$K28))</f>
        <v>Kaluthara 02</v>
      </c>
      <c r="D28" s="32" t="str">
        <f aca="false">IF($K28="","",INDEX('All Devices (Master)'!$F:$F,$K28))</f>
        <v>6160062164903</v>
      </c>
      <c r="E28" s="32" t="str">
        <f aca="false">IF($K28="","",INDEX('All Devices (Master)'!$G:$G,$K28))</f>
        <v>Working</v>
      </c>
      <c r="F28" s="32" t="str">
        <f aca="false">IF($K28="","",IF(INDEX('All Devices (Master)'!$H:$H,$K28)=0,"",INDEX('All Devices (Master)'!$H:$H,$K28)))</f>
        <v/>
      </c>
      <c r="G28" s="32" t="str">
        <f aca="false">IF($K28="","",IF(INDEX('All Devices (Master)'!$I:$I,$K28)=0,"",INDEX('All Devices (Master)'!$I:$I,$K28)))</f>
        <v/>
      </c>
      <c r="H28" s="32" t="str">
        <f aca="false">IF($K28="","",IF(INDEX('All Devices (Master)'!$J:$J,$K28)=0,"",INDEX('All Devices (Master)'!$J:$J,$K28)))</f>
        <v>Colour</v>
      </c>
      <c r="I28" s="32" t="str">
        <f aca="false">IF($K28="","",INDEX('All Devices (Master)'!$V:$V,$K28))</f>
        <v/>
      </c>
      <c r="K28" s="1" t="n">
        <f aca="false">IFERROR(MATCH("W-"&amp;26,'All Devices (Master)'!$U:$U,0),"")</f>
        <v>50</v>
      </c>
    </row>
    <row r="29" customFormat="false" ht="15" hidden="false" customHeight="true" outlineLevel="0" collapsed="false">
      <c r="A29" s="39" t="n">
        <f aca="false">IF($K29="","",27)</f>
        <v>27</v>
      </c>
      <c r="B29" s="26" t="str">
        <f aca="false">IF($K29="","",INDEX('All Devices (Master)'!$D:$D,$K29))</f>
        <v>SlikFP 100TA</v>
      </c>
      <c r="C29" s="26" t="str">
        <f aca="false">IF($K29="","",INDEX('All Devices (Master)'!$E:$E,$K29))</f>
        <v>Duplication road</v>
      </c>
      <c r="D29" s="26" t="str">
        <f aca="false">IF($K29="","",INDEX('All Devices (Master)'!$F:$F,$K29))</f>
        <v>OLK6110086111900001</v>
      </c>
      <c r="E29" s="26" t="str">
        <f aca="false">IF($K29="","",INDEX('All Devices (Master)'!$G:$G,$K29))</f>
        <v>Working</v>
      </c>
      <c r="F29" s="26" t="str">
        <f aca="false">IF($K29="","",IF(INDEX('All Devices (Master)'!$H:$H,$K29)=0,"",INDEX('All Devices (Master)'!$H:$H,$K29)))</f>
        <v/>
      </c>
      <c r="G29" s="26" t="str">
        <f aca="false">IF($K29="","",IF(INDEX('All Devices (Master)'!$I:$I,$K29)=0,"",INDEX('All Devices (Master)'!$I:$I,$K29)))</f>
        <v/>
      </c>
      <c r="H29" s="26" t="str">
        <f aca="false">IF($K29="","",IF(INDEX('All Devices (Master)'!$J:$J,$K29)=0,"",INDEX('All Devices (Master)'!$J:$J,$K29)))</f>
        <v>Colour</v>
      </c>
      <c r="I29" s="26" t="str">
        <f aca="false">IF($K29="","",INDEX('All Devices (Master)'!$V:$V,$K29))</f>
        <v/>
      </c>
      <c r="K29" s="1" t="n">
        <f aca="false">IFERROR(MATCH("W-"&amp;27,'All Devices (Master)'!$U:$U,0),"")</f>
        <v>51</v>
      </c>
    </row>
    <row r="30" customFormat="false" ht="15" hidden="false" customHeight="true" outlineLevel="0" collapsed="false">
      <c r="A30" s="40" t="n">
        <f aca="false">IF($K30="","",28)</f>
        <v>28</v>
      </c>
      <c r="B30" s="32" t="str">
        <f aca="false">IF($K30="","",INDEX('All Devices (Master)'!$D:$D,$K30))</f>
        <v>X628-C</v>
      </c>
      <c r="C30" s="32" t="str">
        <f aca="false">IF($K30="","",INDEX('All Devices (Master)'!$E:$E,$K30))</f>
        <v>Rajagiriya</v>
      </c>
      <c r="D30" s="32" t="str">
        <f aca="false">IF($K30="","",INDEX('All Devices (Master)'!$F:$F,$K30))</f>
        <v>CDQ9191460001</v>
      </c>
      <c r="E30" s="32" t="str">
        <f aca="false">IF($K30="","",INDEX('All Devices (Master)'!$G:$G,$K30))</f>
        <v>Working</v>
      </c>
      <c r="F30" s="32" t="str">
        <f aca="false">IF($K30="","",IF(INDEX('All Devices (Master)'!$H:$H,$K30)=0,"",INDEX('All Devices (Master)'!$H:$H,$K30)))</f>
        <v/>
      </c>
      <c r="G30" s="32" t="str">
        <f aca="false">IF($K30="","",IF(INDEX('All Devices (Master)'!$I:$I,$K30)=0,"",INDEX('All Devices (Master)'!$I:$I,$K30)))</f>
        <v/>
      </c>
      <c r="H30" s="32" t="str">
        <f aca="false">IF($K30="","",IF(INDEX('All Devices (Master)'!$J:$J,$K30)=0,"",INDEX('All Devices (Master)'!$J:$J,$K30)))</f>
        <v>Colour</v>
      </c>
      <c r="I30" s="32" t="str">
        <f aca="false">IF($K30="","",INDEX('All Devices (Master)'!$V:$V,$K30))</f>
        <v/>
      </c>
      <c r="K30" s="1" t="n">
        <f aca="false">IFERROR(MATCH("W-"&amp;28,'All Devices (Master)'!$U:$U,0),"")</f>
        <v>53</v>
      </c>
    </row>
    <row r="31" customFormat="false" ht="15" hidden="false" customHeight="true" outlineLevel="0" collapsed="false">
      <c r="A31" s="39" t="n">
        <f aca="false">IF($K31="","",29)</f>
        <v>29</v>
      </c>
      <c r="B31" s="26" t="str">
        <f aca="false">IF($K31="","",INDEX('All Devices (Master)'!$D:$D,$K31))</f>
        <v>X628-C</v>
      </c>
      <c r="C31" s="26" t="str">
        <f aca="false">IF($K31="","",INDEX('All Devices (Master)'!$E:$E,$K31))</f>
        <v>Cotta road</v>
      </c>
      <c r="D31" s="26" t="str">
        <f aca="false">IF($K31="","",INDEX('All Devices (Master)'!$F:$F,$K31))</f>
        <v>AEG8243600002</v>
      </c>
      <c r="E31" s="26" t="str">
        <f aca="false">IF($K31="","",INDEX('All Devices (Master)'!$G:$G,$K31))</f>
        <v>Working</v>
      </c>
      <c r="F31" s="26" t="str">
        <f aca="false">IF($K31="","",IF(INDEX('All Devices (Master)'!$H:$H,$K31)=0,"",INDEX('All Devices (Master)'!$H:$H,$K31)))</f>
        <v/>
      </c>
      <c r="G31" s="26" t="str">
        <f aca="false">IF($K31="","",IF(INDEX('All Devices (Master)'!$I:$I,$K31)=0,"",INDEX('All Devices (Master)'!$I:$I,$K31)))</f>
        <v/>
      </c>
      <c r="H31" s="26" t="str">
        <f aca="false">IF($K31="","",IF(INDEX('All Devices (Master)'!$J:$J,$K31)=0,"",INDEX('All Devices (Master)'!$J:$J,$K31)))</f>
        <v>Colour</v>
      </c>
      <c r="I31" s="26" t="str">
        <f aca="false">IF($K31="","",INDEX('All Devices (Master)'!$V:$V,$K31))</f>
        <v/>
      </c>
      <c r="K31" s="1" t="n">
        <f aca="false">IFERROR(MATCH("W-"&amp;29,'All Devices (Master)'!$U:$U,0),"")</f>
        <v>54</v>
      </c>
    </row>
    <row r="32" customFormat="false" ht="15" hidden="false" customHeight="true" outlineLevel="0" collapsed="false">
      <c r="A32" s="40" t="n">
        <f aca="false">IF($K32="","",30)</f>
        <v>30</v>
      </c>
      <c r="B32" s="32" t="str">
        <f aca="false">IF($K32="","",INDEX('All Devices (Master)'!$D:$D,$K32))</f>
        <v>X628</v>
      </c>
      <c r="C32" s="32" t="str">
        <f aca="false">IF($K32="","",INDEX('All Devices (Master)'!$E:$E,$K32))</f>
        <v>Aggona</v>
      </c>
      <c r="D32" s="32" t="str">
        <f aca="false">IF($K32="","",INDEX('All Devices (Master)'!$F:$F,$K32))</f>
        <v>AEG8244700003</v>
      </c>
      <c r="E32" s="32" t="str">
        <f aca="false">IF($K32="","",INDEX('All Devices (Master)'!$G:$G,$K32))</f>
        <v>Working</v>
      </c>
      <c r="F32" s="32" t="str">
        <f aca="false">IF($K32="","",IF(INDEX('All Devices (Master)'!$H:$H,$K32)=0,"",INDEX('All Devices (Master)'!$H:$H,$K32)))</f>
        <v/>
      </c>
      <c r="G32" s="32" t="str">
        <f aca="false">IF($K32="","",IF(INDEX('All Devices (Master)'!$I:$I,$K32)=0,"",INDEX('All Devices (Master)'!$I:$I,$K32)))</f>
        <v/>
      </c>
      <c r="H32" s="32" t="str">
        <f aca="false">IF($K32="","",IF(INDEX('All Devices (Master)'!$J:$J,$K32)=0,"",INDEX('All Devices (Master)'!$J:$J,$K32)))</f>
        <v>Colour</v>
      </c>
      <c r="I32" s="32" t="str">
        <f aca="false">IF($K32="","",INDEX('All Devices (Master)'!$V:$V,$K32))</f>
        <v/>
      </c>
      <c r="K32" s="1" t="n">
        <f aca="false">IFERROR(MATCH("W-"&amp;30,'All Devices (Master)'!$U:$U,0),"")</f>
        <v>55</v>
      </c>
    </row>
    <row r="33" customFormat="false" ht="15" hidden="false" customHeight="true" outlineLevel="0" collapsed="false">
      <c r="A33" s="39" t="n">
        <f aca="false">IF($K33="","",31)</f>
        <v>31</v>
      </c>
      <c r="B33" s="26" t="str">
        <f aca="false">IF($K33="","",INDEX('All Devices (Master)'!$D:$D,$K33))</f>
        <v>X628</v>
      </c>
      <c r="C33" s="26" t="str">
        <f aca="false">IF($K33="","",INDEX('All Devices (Master)'!$E:$E,$K33))</f>
        <v>Eldeniya</v>
      </c>
      <c r="D33" s="26" t="str">
        <f aca="false">IF($K33="","",INDEX('All Devices (Master)'!$F:$F,$K33))</f>
        <v>5128192400004</v>
      </c>
      <c r="E33" s="26" t="str">
        <f aca="false">IF($K33="","",INDEX('All Devices (Master)'!$G:$G,$K33))</f>
        <v>Working</v>
      </c>
      <c r="F33" s="26" t="str">
        <f aca="false">IF($K33="","",IF(INDEX('All Devices (Master)'!$H:$H,$K33)=0,"",INDEX('All Devices (Master)'!$H:$H,$K33)))</f>
        <v/>
      </c>
      <c r="G33" s="26" t="str">
        <f aca="false">IF($K33="","",IF(INDEX('All Devices (Master)'!$I:$I,$K33)=0,"",INDEX('All Devices (Master)'!$I:$I,$K33)))</f>
        <v/>
      </c>
      <c r="H33" s="26" t="str">
        <f aca="false">IF($K33="","",IF(INDEX('All Devices (Master)'!$J:$J,$K33)=0,"",INDEX('All Devices (Master)'!$J:$J,$K33)))</f>
        <v>Colour</v>
      </c>
      <c r="I33" s="26" t="str">
        <f aca="false">IF($K33="","",INDEX('All Devices (Master)'!$V:$V,$K33))</f>
        <v/>
      </c>
      <c r="K33" s="1" t="n">
        <f aca="false">IFERROR(MATCH("W-"&amp;31,'All Devices (Master)'!$U:$U,0),"")</f>
        <v>56</v>
      </c>
    </row>
    <row r="34" customFormat="false" ht="15" hidden="false" customHeight="true" outlineLevel="0" collapsed="false">
      <c r="A34" s="40" t="n">
        <f aca="false">IF($K34="","",32)</f>
        <v>32</v>
      </c>
      <c r="B34" s="32" t="str">
        <f aca="false">IF($K34="","",INDEX('All Devices (Master)'!$D:$D,$K34))</f>
        <v>X628</v>
      </c>
      <c r="C34" s="32" t="str">
        <f aca="false">IF($K34="","",INDEX('All Devices (Master)'!$E:$E,$K34))</f>
        <v>Eheliyagoda</v>
      </c>
      <c r="D34" s="32" t="str">
        <f aca="false">IF($K34="","",INDEX('All Devices (Master)'!$F:$F,$K34))</f>
        <v>CDQ9194460066</v>
      </c>
      <c r="E34" s="32" t="str">
        <f aca="false">IF($K34="","",INDEX('All Devices (Master)'!$G:$G,$K34))</f>
        <v>Working</v>
      </c>
      <c r="F34" s="32" t="str">
        <f aca="false">IF($K34="","",IF(INDEX('All Devices (Master)'!$H:$H,$K34)=0,"",INDEX('All Devices (Master)'!$H:$H,$K34)))</f>
        <v/>
      </c>
      <c r="G34" s="32" t="str">
        <f aca="false">IF($K34="","",IF(INDEX('All Devices (Master)'!$I:$I,$K34)=0,"",INDEX('All Devices (Master)'!$I:$I,$K34)))</f>
        <v/>
      </c>
      <c r="H34" s="32" t="str">
        <f aca="false">IF($K34="","",IF(INDEX('All Devices (Master)'!$J:$J,$K34)=0,"",INDEX('All Devices (Master)'!$J:$J,$K34)))</f>
        <v>Colour</v>
      </c>
      <c r="I34" s="32" t="str">
        <f aca="false">IF($K34="","",INDEX('All Devices (Master)'!$V:$V,$K34))</f>
        <v/>
      </c>
      <c r="K34" s="1" t="n">
        <f aca="false">IFERROR(MATCH("W-"&amp;32,'All Devices (Master)'!$U:$U,0),"")</f>
        <v>57</v>
      </c>
    </row>
    <row r="35" customFormat="false" ht="15" hidden="false" customHeight="true" outlineLevel="0" collapsed="false">
      <c r="A35" s="39" t="n">
        <f aca="false">IF($K35="","",33)</f>
        <v>33</v>
      </c>
      <c r="B35" s="26" t="str">
        <f aca="false">IF($K35="","",INDEX('All Devices (Master)'!$D:$D,$K35))</f>
        <v>TX628</v>
      </c>
      <c r="C35" s="26" t="str">
        <f aca="false">IF($K35="","",INDEX('All Devices (Master)'!$E:$E,$K35))</f>
        <v>Karapitiya</v>
      </c>
      <c r="D35" s="26" t="str">
        <f aca="false">IF($K35="","",INDEX('All Devices (Master)'!$F:$F,$K35))</f>
        <v>6160052016819</v>
      </c>
      <c r="E35" s="26" t="str">
        <f aca="false">IF($K35="","",INDEX('All Devices (Master)'!$G:$G,$K35))</f>
        <v>Working</v>
      </c>
      <c r="F35" s="26" t="str">
        <f aca="false">IF($K35="","",IF(INDEX('All Devices (Master)'!$H:$H,$K35)=0,"",INDEX('All Devices (Master)'!$H:$H,$K35)))</f>
        <v/>
      </c>
      <c r="G35" s="26" t="str">
        <f aca="false">IF($K35="","",IF(INDEX('All Devices (Master)'!$I:$I,$K35)=0,"",INDEX('All Devices (Master)'!$I:$I,$K35)))</f>
        <v/>
      </c>
      <c r="H35" s="26" t="str">
        <f aca="false">IF($K35="","",IF(INDEX('All Devices (Master)'!$J:$J,$K35)=0,"",INDEX('All Devices (Master)'!$J:$J,$K35)))</f>
        <v>Colour</v>
      </c>
      <c r="I35" s="26" t="str">
        <f aca="false">IF($K35="","",INDEX('All Devices (Master)'!$V:$V,$K35))</f>
        <v/>
      </c>
      <c r="K35" s="1" t="n">
        <f aca="false">IFERROR(MATCH("W-"&amp;33,'All Devices (Master)'!$U:$U,0),"")</f>
        <v>59</v>
      </c>
    </row>
    <row r="36" customFormat="false" ht="15" hidden="false" customHeight="true" outlineLevel="0" collapsed="false">
      <c r="A36" s="40" t="n">
        <f aca="false">IF($K36="","",34)</f>
        <v>34</v>
      </c>
      <c r="B36" s="32" t="str">
        <f aca="false">IF($K36="","",INDEX('All Devices (Master)'!$D:$D,$K36))</f>
        <v>G1</v>
      </c>
      <c r="C36" s="32" t="str">
        <f aca="false">IF($K36="","",INDEX('All Devices (Master)'!$E:$E,$K36))</f>
        <v>Jaffna Dimo</v>
      </c>
      <c r="D36" s="32" t="str">
        <f aca="false">IF($K36="","",INDEX('All Devices (Master)'!$F:$F,$K36))</f>
        <v>OLK7030087030600012</v>
      </c>
      <c r="E36" s="32" t="str">
        <f aca="false">IF($K36="","",INDEX('All Devices (Master)'!$G:$G,$K36))</f>
        <v>Working</v>
      </c>
      <c r="F36" s="32" t="str">
        <f aca="false">IF($K36="","",IF(INDEX('All Devices (Master)'!$H:$H,$K36)=0,"",INDEX('All Devices (Master)'!$H:$H,$K36)))</f>
        <v/>
      </c>
      <c r="G36" s="32" t="str">
        <f aca="false">IF($K36="","",IF(INDEX('All Devices (Master)'!$I:$I,$K36)=0,"",INDEX('All Devices (Master)'!$I:$I,$K36)))</f>
        <v/>
      </c>
      <c r="H36" s="32" t="str">
        <f aca="false">IF($K36="","",IF(INDEX('All Devices (Master)'!$J:$J,$K36)=0,"",INDEX('All Devices (Master)'!$J:$J,$K36)))</f>
        <v>Colour</v>
      </c>
      <c r="I36" s="32" t="str">
        <f aca="false">IF($K36="","",INDEX('All Devices (Master)'!$V:$V,$K36))</f>
        <v/>
      </c>
      <c r="K36" s="1" t="n">
        <f aca="false">IFERROR(MATCH("W-"&amp;34,'All Devices (Master)'!$U:$U,0),"")</f>
        <v>61</v>
      </c>
    </row>
    <row r="37" customFormat="false" ht="15" hidden="false" customHeight="true" outlineLevel="0" collapsed="false">
      <c r="A37" s="39" t="n">
        <f aca="false">IF($K37="","",35)</f>
        <v>35</v>
      </c>
      <c r="B37" s="26" t="str">
        <f aca="false">IF($K37="","",INDEX('All Devices (Master)'!$D:$D,$K37))</f>
        <v>X628-C</v>
      </c>
      <c r="C37" s="26" t="str">
        <f aca="false">IF($K37="","",INDEX('All Devices (Master)'!$E:$E,$K37))</f>
        <v>Thurstan road</v>
      </c>
      <c r="D37" s="26" t="str">
        <f aca="false">IF($K37="","",INDEX('All Devices (Master)'!$F:$F,$K37))</f>
        <v>AEG8234800001</v>
      </c>
      <c r="E37" s="26" t="str">
        <f aca="false">IF($K37="","",INDEX('All Devices (Master)'!$G:$G,$K37))</f>
        <v>Working</v>
      </c>
      <c r="F37" s="26" t="str">
        <f aca="false">IF($K37="","",IF(INDEX('All Devices (Master)'!$H:$H,$K37)=0,"",INDEX('All Devices (Master)'!$H:$H,$K37)))</f>
        <v/>
      </c>
      <c r="G37" s="26" t="str">
        <f aca="false">IF($K37="","",IF(INDEX('All Devices (Master)'!$I:$I,$K37)=0,"",INDEX('All Devices (Master)'!$I:$I,$K37)))</f>
        <v/>
      </c>
      <c r="H37" s="26" t="str">
        <f aca="false">IF($K37="","",IF(INDEX('All Devices (Master)'!$J:$J,$K37)=0,"",INDEX('All Devices (Master)'!$J:$J,$K37)))</f>
        <v>Colour</v>
      </c>
      <c r="I37" s="26" t="str">
        <f aca="false">IF($K37="","",INDEX('All Devices (Master)'!$V:$V,$K37))</f>
        <v/>
      </c>
      <c r="K37" s="1" t="n">
        <f aca="false">IFERROR(MATCH("W-"&amp;35,'All Devices (Master)'!$U:$U,0),"")</f>
        <v>64</v>
      </c>
    </row>
    <row r="38" customFormat="false" ht="15" hidden="false" customHeight="true" outlineLevel="0" collapsed="false">
      <c r="A38" s="40" t="n">
        <f aca="false">IF($K38="","",36)</f>
        <v>36</v>
      </c>
      <c r="B38" s="32" t="str">
        <f aca="false">IF($K38="","",INDEX('All Devices (Master)'!$D:$D,$K38))</f>
        <v>X628</v>
      </c>
      <c r="C38" s="32" t="str">
        <f aca="false">IF($K38="","",INDEX('All Devices (Master)'!$E:$E,$K38))</f>
        <v>Rathnapitiya</v>
      </c>
      <c r="D38" s="32" t="str">
        <f aca="false">IF($K38="","",INDEX('All Devices (Master)'!$F:$F,$K38))</f>
        <v>0063022520001</v>
      </c>
      <c r="E38" s="32" t="str">
        <f aca="false">IF($K38="","",INDEX('All Devices (Master)'!$G:$G,$K38))</f>
        <v>Working</v>
      </c>
      <c r="F38" s="32" t="str">
        <f aca="false">IF($K38="","",IF(INDEX('All Devices (Master)'!$H:$H,$K38)=0,"",INDEX('All Devices (Master)'!$H:$H,$K38)))</f>
        <v/>
      </c>
      <c r="G38" s="32" t="str">
        <f aca="false">IF($K38="","",IF(INDEX('All Devices (Master)'!$I:$I,$K38)=0,"",INDEX('All Devices (Master)'!$I:$I,$K38)))</f>
        <v/>
      </c>
      <c r="H38" s="32" t="str">
        <f aca="false">IF($K38="","",IF(INDEX('All Devices (Master)'!$J:$J,$K38)=0,"",INDEX('All Devices (Master)'!$J:$J,$K38)))</f>
        <v>Black &amp; White</v>
      </c>
      <c r="I38" s="32" t="str">
        <f aca="false">IF($K38="","",INDEX('All Devices (Master)'!$V:$V,$K38))</f>
        <v/>
      </c>
      <c r="K38" s="1" t="n">
        <f aca="false">IFERROR(MATCH("W-"&amp;36,'All Devices (Master)'!$U:$U,0),"")</f>
        <v>65</v>
      </c>
    </row>
    <row r="39" customFormat="false" ht="15" hidden="false" customHeight="true" outlineLevel="0" collapsed="false">
      <c r="A39" s="39" t="n">
        <f aca="false">IF($K39="","",37)</f>
        <v>37</v>
      </c>
      <c r="B39" s="26" t="str">
        <f aca="false">IF($K39="","",INDEX('All Devices (Master)'!$D:$D,$K39))</f>
        <v>X628</v>
      </c>
      <c r="C39" s="26" t="str">
        <f aca="false">IF($K39="","",INDEX('All Devices (Master)'!$E:$E,$K39))</f>
        <v>Galle</v>
      </c>
      <c r="D39" s="26" t="str">
        <f aca="false">IF($K39="","",INDEX('All Devices (Master)'!$F:$F,$K39))</f>
        <v>0060972240003</v>
      </c>
      <c r="E39" s="26" t="str">
        <f aca="false">IF($K39="","",INDEX('All Devices (Master)'!$G:$G,$K39))</f>
        <v>Working</v>
      </c>
      <c r="F39" s="26" t="str">
        <f aca="false">IF($K39="","",IF(INDEX('All Devices (Master)'!$H:$H,$K39)=0,"",INDEX('All Devices (Master)'!$H:$H,$K39)))</f>
        <v/>
      </c>
      <c r="G39" s="26" t="str">
        <f aca="false">IF($K39="","",IF(INDEX('All Devices (Master)'!$I:$I,$K39)=0,"",INDEX('All Devices (Master)'!$I:$I,$K39)))</f>
        <v/>
      </c>
      <c r="H39" s="26" t="str">
        <f aca="false">IF($K39="","",IF(INDEX('All Devices (Master)'!$J:$J,$K39)=0,"",INDEX('All Devices (Master)'!$J:$J,$K39)))</f>
        <v>Black &amp; White</v>
      </c>
      <c r="I39" s="26" t="str">
        <f aca="false">IF($K39="","",INDEX('All Devices (Master)'!$V:$V,$K39))</f>
        <v/>
      </c>
      <c r="K39" s="1" t="n">
        <f aca="false">IFERROR(MATCH("W-"&amp;37,'All Devices (Master)'!$U:$U,0),"")</f>
        <v>70</v>
      </c>
    </row>
    <row r="40" customFormat="false" ht="15" hidden="false" customHeight="true" outlineLevel="0" collapsed="false">
      <c r="A40" s="40" t="n">
        <f aca="false">IF($K40="","",38)</f>
        <v>38</v>
      </c>
      <c r="B40" s="32" t="str">
        <f aca="false">IF($K40="","",INDEX('All Devices (Master)'!$D:$D,$K40))</f>
        <v>X628</v>
      </c>
      <c r="C40" s="32" t="str">
        <f aca="false">IF($K40="","",INDEX('All Devices (Master)'!$E:$E,$K40))</f>
        <v>Mulleriyawa</v>
      </c>
      <c r="D40" s="32" t="str">
        <f aca="false">IF($K40="","",INDEX('All Devices (Master)'!$F:$F,$K40))</f>
        <v>A5SA182660002</v>
      </c>
      <c r="E40" s="32" t="str">
        <f aca="false">IF($K40="","",INDEX('All Devices (Master)'!$G:$G,$K40))</f>
        <v>Working</v>
      </c>
      <c r="F40" s="32" t="str">
        <f aca="false">IF($K40="","",IF(INDEX('All Devices (Master)'!$H:$H,$K40)=0,"",INDEX('All Devices (Master)'!$H:$H,$K40)))</f>
        <v/>
      </c>
      <c r="G40" s="32" t="str">
        <f aca="false">IF($K40="","",IF(INDEX('All Devices (Master)'!$I:$I,$K40)=0,"",INDEX('All Devices (Master)'!$I:$I,$K40)))</f>
        <v/>
      </c>
      <c r="H40" s="32" t="str">
        <f aca="false">IF($K40="","",IF(INDEX('All Devices (Master)'!$J:$J,$K40)=0,"",INDEX('All Devices (Master)'!$J:$J,$K40)))</f>
        <v>Black &amp; White</v>
      </c>
      <c r="I40" s="32" t="str">
        <f aca="false">IF($K40="","",INDEX('All Devices (Master)'!$V:$V,$K40))</f>
        <v/>
      </c>
      <c r="K40" s="1" t="n">
        <f aca="false">IFERROR(MATCH("W-"&amp;38,'All Devices (Master)'!$U:$U,0),"")</f>
        <v>72</v>
      </c>
    </row>
    <row r="41" customFormat="false" ht="15" hidden="false" customHeight="true" outlineLevel="0" collapsed="false">
      <c r="A41" s="39" t="n">
        <f aca="false">IF($K41="","",39)</f>
        <v>39</v>
      </c>
      <c r="B41" s="26" t="str">
        <f aca="false">IF($K41="","",INDEX('All Devices (Master)'!$D:$D,$K41))</f>
        <v>X628</v>
      </c>
      <c r="C41" s="26" t="str">
        <f aca="false">IF($K41="","",INDEX('All Devices (Master)'!$E:$E,$K41))</f>
        <v>Mathara 02</v>
      </c>
      <c r="D41" s="26" t="str">
        <f aca="false">IF($K41="","",INDEX('All Devices (Master)'!$F:$F,$K41))</f>
        <v>A5RN173460003</v>
      </c>
      <c r="E41" s="26" t="str">
        <f aca="false">IF($K41="","",INDEX('All Devices (Master)'!$G:$G,$K41))</f>
        <v>Working</v>
      </c>
      <c r="F41" s="26" t="str">
        <f aca="false">IF($K41="","",IF(INDEX('All Devices (Master)'!$H:$H,$K41)=0,"",INDEX('All Devices (Master)'!$H:$H,$K41)))</f>
        <v/>
      </c>
      <c r="G41" s="26" t="str">
        <f aca="false">IF($K41="","",IF(INDEX('All Devices (Master)'!$I:$I,$K41)=0,"",INDEX('All Devices (Master)'!$I:$I,$K41)))</f>
        <v/>
      </c>
      <c r="H41" s="26" t="str">
        <f aca="false">IF($K41="","",IF(INDEX('All Devices (Master)'!$J:$J,$K41)=0,"",INDEX('All Devices (Master)'!$J:$J,$K41)))</f>
        <v>Black &amp; White</v>
      </c>
      <c r="I41" s="26" t="str">
        <f aca="false">IF($K41="","",INDEX('All Devices (Master)'!$V:$V,$K41))</f>
        <v/>
      </c>
      <c r="K41" s="1" t="n">
        <f aca="false">IFERROR(MATCH("W-"&amp;39,'All Devices (Master)'!$U:$U,0),"")</f>
        <v>74</v>
      </c>
    </row>
    <row r="42" customFormat="false" ht="15" hidden="false" customHeight="true" outlineLevel="0" collapsed="false">
      <c r="A42" s="40" t="n">
        <f aca="false">IF($K42="","",40)</f>
        <v>40</v>
      </c>
      <c r="B42" s="32" t="str">
        <f aca="false">IF($K42="","",INDEX('All Devices (Master)'!$D:$D,$K42))</f>
        <v>X628</v>
      </c>
      <c r="C42" s="32" t="str">
        <f aca="false">IF($K42="","",INDEX('All Devices (Master)'!$E:$E,$K42))</f>
        <v>Edmonton</v>
      </c>
      <c r="D42" s="32" t="str">
        <f aca="false">IF($K42="","",INDEX('All Devices (Master)'!$F:$F,$K42))</f>
        <v>6006171200001</v>
      </c>
      <c r="E42" s="32" t="str">
        <f aca="false">IF($K42="","",INDEX('All Devices (Master)'!$G:$G,$K42))</f>
        <v>Working</v>
      </c>
      <c r="F42" s="32" t="str">
        <f aca="false">IF($K42="","",IF(INDEX('All Devices (Master)'!$H:$H,$K42)=0,"",INDEX('All Devices (Master)'!$H:$H,$K42)))</f>
        <v/>
      </c>
      <c r="G42" s="32" t="str">
        <f aca="false">IF($K42="","",IF(INDEX('All Devices (Master)'!$I:$I,$K42)=0,"",INDEX('All Devices (Master)'!$I:$I,$K42)))</f>
        <v/>
      </c>
      <c r="H42" s="32" t="str">
        <f aca="false">IF($K42="","",IF(INDEX('All Devices (Master)'!$J:$J,$K42)=0,"",INDEX('All Devices (Master)'!$J:$J,$K42)))</f>
        <v>Black &amp; White</v>
      </c>
      <c r="I42" s="32" t="str">
        <f aca="false">IF($K42="","",INDEX('All Devices (Master)'!$V:$V,$K42))</f>
        <v/>
      </c>
      <c r="K42" s="1" t="n">
        <f aca="false">IFERROR(MATCH("W-"&amp;40,'All Devices (Master)'!$U:$U,0),"")</f>
        <v>75</v>
      </c>
    </row>
    <row r="43" customFormat="false" ht="15" hidden="false" customHeight="true" outlineLevel="0" collapsed="false">
      <c r="A43" s="39" t="n">
        <f aca="false">IF($K43="","",41)</f>
        <v>41</v>
      </c>
      <c r="B43" s="26" t="str">
        <f aca="false">IF($K43="","",INDEX('All Devices (Master)'!$D:$D,$K43))</f>
        <v>TX628</v>
      </c>
      <c r="C43" s="26" t="str">
        <f aca="false">IF($K43="","",INDEX('All Devices (Master)'!$E:$E,$K43))</f>
        <v>Vidyala Junction</v>
      </c>
      <c r="D43" s="26" t="str">
        <f aca="false">IF($K43="","",INDEX('All Devices (Master)'!$F:$F,$K43))</f>
        <v>6160052016814</v>
      </c>
      <c r="E43" s="26" t="str">
        <f aca="false">IF($K43="","",INDEX('All Devices (Master)'!$G:$G,$K43))</f>
        <v>Working</v>
      </c>
      <c r="F43" s="26" t="str">
        <f aca="false">IF($K43="","",IF(INDEX('All Devices (Master)'!$H:$H,$K43)=0,"",INDEX('All Devices (Master)'!$H:$H,$K43)))</f>
        <v/>
      </c>
      <c r="G43" s="26" t="str">
        <f aca="false">IF($K43="","",IF(INDEX('All Devices (Master)'!$I:$I,$K43)=0,"",INDEX('All Devices (Master)'!$I:$I,$K43)))</f>
        <v/>
      </c>
      <c r="H43" s="26" t="str">
        <f aca="false">IF($K43="","",IF(INDEX('All Devices (Master)'!$J:$J,$K43)=0,"",INDEX('All Devices (Master)'!$J:$J,$K43)))</f>
        <v>Colour</v>
      </c>
      <c r="I43" s="26" t="str">
        <f aca="false">IF($K43="","",INDEX('All Devices (Master)'!$V:$V,$K43))</f>
        <v/>
      </c>
      <c r="K43" s="1" t="n">
        <f aca="false">IFERROR(MATCH("W-"&amp;41,'All Devices (Master)'!$U:$U,0),"")</f>
        <v>77</v>
      </c>
    </row>
    <row r="44" customFormat="false" ht="15" hidden="false" customHeight="true" outlineLevel="0" collapsed="false">
      <c r="A44" s="40" t="n">
        <f aca="false">IF($K44="","",42)</f>
        <v>42</v>
      </c>
      <c r="B44" s="32" t="str">
        <f aca="false">IF($K44="","",INDEX('All Devices (Master)'!$D:$D,$K44))</f>
        <v>X628</v>
      </c>
      <c r="C44" s="32" t="str">
        <f aca="false">IF($K44="","",INDEX('All Devices (Master)'!$E:$E,$K44))</f>
        <v>Athurugiriya 02</v>
      </c>
      <c r="D44" s="32" t="str">
        <f aca="false">IF($K44="","",INDEX('All Devices (Master)'!$F:$F,$K44))</f>
        <v>6006171200006</v>
      </c>
      <c r="E44" s="32" t="str">
        <f aca="false">IF($K44="","",INDEX('All Devices (Master)'!$G:$G,$K44))</f>
        <v>Working</v>
      </c>
      <c r="F44" s="32" t="str">
        <f aca="false">IF($K44="","",IF(INDEX('All Devices (Master)'!$H:$H,$K44)=0,"",INDEX('All Devices (Master)'!$H:$H,$K44)))</f>
        <v/>
      </c>
      <c r="G44" s="32" t="str">
        <f aca="false">IF($K44="","",IF(INDEX('All Devices (Master)'!$I:$I,$K44)=0,"",INDEX('All Devices (Master)'!$I:$I,$K44)))</f>
        <v/>
      </c>
      <c r="H44" s="32" t="str">
        <f aca="false">IF($K44="","",IF(INDEX('All Devices (Master)'!$J:$J,$K44)=0,"",INDEX('All Devices (Master)'!$J:$J,$K44)))</f>
        <v>Black &amp; White</v>
      </c>
      <c r="I44" s="32" t="str">
        <f aca="false">IF($K44="","",INDEX('All Devices (Master)'!$V:$V,$K44))</f>
        <v/>
      </c>
      <c r="K44" s="1" t="n">
        <f aca="false">IFERROR(MATCH("W-"&amp;42,'All Devices (Master)'!$U:$U,0),"")</f>
        <v>80</v>
      </c>
    </row>
    <row r="45" customFormat="false" ht="15" hidden="false" customHeight="true" outlineLevel="0" collapsed="false">
      <c r="A45" s="39" t="n">
        <f aca="false">IF($K45="","",43)</f>
        <v>43</v>
      </c>
      <c r="B45" s="26" t="str">
        <f aca="false">IF($K45="","",INDEX('All Devices (Master)'!$D:$D,$K45))</f>
        <v>X628</v>
      </c>
      <c r="C45" s="26" t="str">
        <f aca="false">IF($K45="","",INDEX('All Devices (Master)'!$E:$E,$K45))</f>
        <v>Wattala 02</v>
      </c>
      <c r="D45" s="26" t="str">
        <f aca="false">IF($K45="","",INDEX('All Devices (Master)'!$F:$F,$K45))</f>
        <v>600615280002</v>
      </c>
      <c r="E45" s="26" t="str">
        <f aca="false">IF($K45="","",INDEX('All Devices (Master)'!$G:$G,$K45))</f>
        <v>Working</v>
      </c>
      <c r="F45" s="26" t="str">
        <f aca="false">IF($K45="","",IF(INDEX('All Devices (Master)'!$H:$H,$K45)=0,"",INDEX('All Devices (Master)'!$H:$H,$K45)))</f>
        <v/>
      </c>
      <c r="G45" s="26" t="str">
        <f aca="false">IF($K45="","",IF(INDEX('All Devices (Master)'!$I:$I,$K45)=0,"",INDEX('All Devices (Master)'!$I:$I,$K45)))</f>
        <v/>
      </c>
      <c r="H45" s="26" t="str">
        <f aca="false">IF($K45="","",IF(INDEX('All Devices (Master)'!$J:$J,$K45)=0,"",INDEX('All Devices (Master)'!$J:$J,$K45)))</f>
        <v>Black &amp; White</v>
      </c>
      <c r="I45" s="26" t="str">
        <f aca="false">IF($K45="","",INDEX('All Devices (Master)'!$V:$V,$K45))</f>
        <v/>
      </c>
      <c r="K45" s="1" t="n">
        <f aca="false">IFERROR(MATCH("W-"&amp;43,'All Devices (Master)'!$U:$U,0),"")</f>
        <v>81</v>
      </c>
    </row>
    <row r="46" customFormat="false" ht="15" hidden="false" customHeight="true" outlineLevel="0" collapsed="false">
      <c r="A46" s="40" t="n">
        <f aca="false">IF($K46="","",44)</f>
        <v>44</v>
      </c>
      <c r="B46" s="32" t="str">
        <f aca="false">IF($K46="","",INDEX('All Devices (Master)'!$D:$D,$K46))</f>
        <v>X628</v>
      </c>
      <c r="C46" s="32" t="str">
        <f aca="false">IF($K46="","",INDEX('All Devices (Master)'!$E:$E,$K46))</f>
        <v>kesbewa</v>
      </c>
      <c r="D46" s="32" t="str">
        <f aca="false">IF($K46="","",INDEX('All Devices (Master)'!$F:$F,$K46))</f>
        <v>0006141100011</v>
      </c>
      <c r="E46" s="32" t="str">
        <f aca="false">IF($K46="","",INDEX('All Devices (Master)'!$G:$G,$K46))</f>
        <v>Working</v>
      </c>
      <c r="F46" s="32" t="str">
        <f aca="false">IF($K46="","",IF(INDEX('All Devices (Master)'!$H:$H,$K46)=0,"",INDEX('All Devices (Master)'!$H:$H,$K46)))</f>
        <v/>
      </c>
      <c r="G46" s="32" t="str">
        <f aca="false">IF($K46="","",IF(INDEX('All Devices (Master)'!$I:$I,$K46)=0,"",INDEX('All Devices (Master)'!$I:$I,$K46)))</f>
        <v/>
      </c>
      <c r="H46" s="32" t="str">
        <f aca="false">IF($K46="","",IF(INDEX('All Devices (Master)'!$J:$J,$K46)=0,"",INDEX('All Devices (Master)'!$J:$J,$K46)))</f>
        <v>Black &amp; White</v>
      </c>
      <c r="I46" s="32" t="str">
        <f aca="false">IF($K46="","",INDEX('All Devices (Master)'!$V:$V,$K46))</f>
        <v/>
      </c>
      <c r="K46" s="1" t="n">
        <f aca="false">IFERROR(MATCH("W-"&amp;44,'All Devices (Master)'!$U:$U,0),"")</f>
        <v>82</v>
      </c>
    </row>
    <row r="47" customFormat="false" ht="15" hidden="false" customHeight="true" outlineLevel="0" collapsed="false">
      <c r="A47" s="39" t="n">
        <f aca="false">IF($K47="","",45)</f>
        <v>45</v>
      </c>
      <c r="B47" s="26" t="str">
        <f aca="false">IF($K47="","",INDEX('All Devices (Master)'!$D:$D,$K47))</f>
        <v>X628</v>
      </c>
      <c r="C47" s="26" t="str">
        <f aca="false">IF($K47="","",INDEX('All Devices (Master)'!$E:$E,$K47))</f>
        <v>Enderamulla</v>
      </c>
      <c r="D47" s="26" t="str">
        <f aca="false">IF($K47="","",INDEX('All Devices (Master)'!$F:$F,$K47))</f>
        <v>6006165100003</v>
      </c>
      <c r="E47" s="26" t="str">
        <f aca="false">IF($K47="","",INDEX('All Devices (Master)'!$G:$G,$K47))</f>
        <v>Working</v>
      </c>
      <c r="F47" s="26" t="str">
        <f aca="false">IF($K47="","",IF(INDEX('All Devices (Master)'!$H:$H,$K47)=0,"",INDEX('All Devices (Master)'!$H:$H,$K47)))</f>
        <v/>
      </c>
      <c r="G47" s="26" t="str">
        <f aca="false">IF($K47="","",IF(INDEX('All Devices (Master)'!$I:$I,$K47)=0,"",INDEX('All Devices (Master)'!$I:$I,$K47)))</f>
        <v/>
      </c>
      <c r="H47" s="26" t="str">
        <f aca="false">IF($K47="","",IF(INDEX('All Devices (Master)'!$J:$J,$K47)=0,"",INDEX('All Devices (Master)'!$J:$J,$K47)))</f>
        <v>Black &amp; White</v>
      </c>
      <c r="I47" s="26" t="str">
        <f aca="false">IF($K47="","",INDEX('All Devices (Master)'!$V:$V,$K47))</f>
        <v/>
      </c>
      <c r="K47" s="1" t="n">
        <f aca="false">IFERROR(MATCH("W-"&amp;45,'All Devices (Master)'!$U:$U,0),"")</f>
        <v>83</v>
      </c>
    </row>
    <row r="48" customFormat="false" ht="15" hidden="false" customHeight="true" outlineLevel="0" collapsed="false">
      <c r="A48" s="40" t="n">
        <f aca="false">IF($K48="","",46)</f>
        <v>46</v>
      </c>
      <c r="B48" s="32" t="str">
        <f aca="false">IF($K48="","",INDEX('All Devices (Master)'!$D:$D,$K48))</f>
        <v>X628</v>
      </c>
      <c r="C48" s="32" t="str">
        <f aca="false">IF($K48="","",INDEX('All Devices (Master)'!$E:$E,$K48))</f>
        <v>Moratu Mall</v>
      </c>
      <c r="D48" s="32" t="str">
        <f aca="false">IF($K48="","",INDEX('All Devices (Master)'!$F:$F,$K48))</f>
        <v>6006173400007</v>
      </c>
      <c r="E48" s="32" t="str">
        <f aca="false">IF($K48="","",INDEX('All Devices (Master)'!$G:$G,$K48))</f>
        <v>Working</v>
      </c>
      <c r="F48" s="32" t="str">
        <f aca="false">IF($K48="","",IF(INDEX('All Devices (Master)'!$H:$H,$K48)=0,"",INDEX('All Devices (Master)'!$H:$H,$K48)))</f>
        <v/>
      </c>
      <c r="G48" s="32" t="str">
        <f aca="false">IF($K48="","",IF(INDEX('All Devices (Master)'!$I:$I,$K48)=0,"",INDEX('All Devices (Master)'!$I:$I,$K48)))</f>
        <v/>
      </c>
      <c r="H48" s="32" t="str">
        <f aca="false">IF($K48="","",IF(INDEX('All Devices (Master)'!$J:$J,$K48)=0,"",INDEX('All Devices (Master)'!$J:$J,$K48)))</f>
        <v>Black &amp; White</v>
      </c>
      <c r="I48" s="32" t="str">
        <f aca="false">IF($K48="","",INDEX('All Devices (Master)'!$V:$V,$K48))</f>
        <v/>
      </c>
      <c r="K48" s="1" t="n">
        <f aca="false">IFERROR(MATCH("W-"&amp;46,'All Devices (Master)'!$U:$U,0),"")</f>
        <v>85</v>
      </c>
    </row>
    <row r="49" customFormat="false" ht="15" hidden="false" customHeight="true" outlineLevel="0" collapsed="false">
      <c r="A49" s="39" t="n">
        <f aca="false">IF($K49="","",47)</f>
        <v>47</v>
      </c>
      <c r="B49" s="26" t="str">
        <f aca="false">IF($K49="","",INDEX('All Devices (Master)'!$D:$D,$K49))</f>
        <v>X628</v>
      </c>
      <c r="C49" s="26" t="str">
        <f aca="false">IF($K49="","",INDEX('All Devices (Master)'!$E:$E,$K49))</f>
        <v>Thalawathugoda 02</v>
      </c>
      <c r="D49" s="26" t="str">
        <f aca="false">IF($K49="","",INDEX('All Devices (Master)'!$F:$F,$K49))</f>
        <v>OLK609001608170</v>
      </c>
      <c r="E49" s="26" t="str">
        <f aca="false">IF($K49="","",INDEX('All Devices (Master)'!$G:$G,$K49))</f>
        <v>Working</v>
      </c>
      <c r="F49" s="26" t="str">
        <f aca="false">IF($K49="","",IF(INDEX('All Devices (Master)'!$H:$H,$K49)=0,"",INDEX('All Devices (Master)'!$H:$H,$K49)))</f>
        <v/>
      </c>
      <c r="G49" s="26" t="str">
        <f aca="false">IF($K49="","",IF(INDEX('All Devices (Master)'!$I:$I,$K49)=0,"",INDEX('All Devices (Master)'!$I:$I,$K49)))</f>
        <v/>
      </c>
      <c r="H49" s="26" t="str">
        <f aca="false">IF($K49="","",IF(INDEX('All Devices (Master)'!$J:$J,$K49)=0,"",INDEX('All Devices (Master)'!$J:$J,$K49)))</f>
        <v>Black &amp; White</v>
      </c>
      <c r="I49" s="26" t="str">
        <f aca="false">IF($K49="","",INDEX('All Devices (Master)'!$V:$V,$K49))</f>
        <v>Duplicate Serial No - verify device identity</v>
      </c>
      <c r="K49" s="1" t="n">
        <f aca="false">IFERROR(MATCH("W-"&amp;47,'All Devices (Master)'!$U:$U,0),"")</f>
        <v>86</v>
      </c>
    </row>
    <row r="50" customFormat="false" ht="15" hidden="false" customHeight="true" outlineLevel="0" collapsed="false">
      <c r="A50" s="40" t="n">
        <f aca="false">IF($K50="","",48)</f>
        <v>48</v>
      </c>
      <c r="B50" s="32" t="str">
        <f aca="false">IF($K50="","",INDEX('All Devices (Master)'!$D:$D,$K50))</f>
        <v>X628</v>
      </c>
      <c r="C50" s="32" t="str">
        <f aca="false">IF($K50="","",INDEX('All Devices (Master)'!$E:$E,$K50))</f>
        <v>Boralesgamuwa</v>
      </c>
      <c r="D50" s="32" t="str">
        <f aca="false">IF($K50="","",INDEX('All Devices (Master)'!$F:$F,$K50))</f>
        <v>6006165100002</v>
      </c>
      <c r="E50" s="32" t="str">
        <f aca="false">IF($K50="","",INDEX('All Devices (Master)'!$G:$G,$K50))</f>
        <v>Working</v>
      </c>
      <c r="F50" s="32" t="str">
        <f aca="false">IF($K50="","",IF(INDEX('All Devices (Master)'!$H:$H,$K50)=0,"",INDEX('All Devices (Master)'!$H:$H,$K50)))</f>
        <v/>
      </c>
      <c r="G50" s="32" t="str">
        <f aca="false">IF($K50="","",IF(INDEX('All Devices (Master)'!$I:$I,$K50)=0,"",INDEX('All Devices (Master)'!$I:$I,$K50)))</f>
        <v/>
      </c>
      <c r="H50" s="32" t="str">
        <f aca="false">IF($K50="","",IF(INDEX('All Devices (Master)'!$J:$J,$K50)=0,"",INDEX('All Devices (Master)'!$J:$J,$K50)))</f>
        <v>Black &amp; White</v>
      </c>
      <c r="I50" s="32" t="str">
        <f aca="false">IF($K50="","",INDEX('All Devices (Master)'!$V:$V,$K50))</f>
        <v>Duplicate Serial No - verify device identity</v>
      </c>
      <c r="K50" s="1" t="n">
        <f aca="false">IFERROR(MATCH("W-"&amp;48,'All Devices (Master)'!$U:$U,0),"")</f>
        <v>87</v>
      </c>
    </row>
    <row r="51" customFormat="false" ht="15" hidden="false" customHeight="true" outlineLevel="0" collapsed="false">
      <c r="A51" s="39" t="n">
        <f aca="false">IF($K51="","",49)</f>
        <v>49</v>
      </c>
      <c r="B51" s="26" t="str">
        <f aca="false">IF($K51="","",INDEX('All Devices (Master)'!$D:$D,$K51))</f>
        <v>X628</v>
      </c>
      <c r="C51" s="26" t="str">
        <f aca="false">IF($K51="","",INDEX('All Devices (Master)'!$E:$E,$K51))</f>
        <v>Mahabage 02</v>
      </c>
      <c r="D51" s="26" t="str">
        <f aca="false">IF($K51="","",INDEX('All Devices (Master)'!$F:$F,$K51))</f>
        <v>OLK6090016081700003</v>
      </c>
      <c r="E51" s="26" t="str">
        <f aca="false">IF($K51="","",INDEX('All Devices (Master)'!$G:$G,$K51))</f>
        <v>Working</v>
      </c>
      <c r="F51" s="26" t="str">
        <f aca="false">IF($K51="","",IF(INDEX('All Devices (Master)'!$H:$H,$K51)=0,"",INDEX('All Devices (Master)'!$H:$H,$K51)))</f>
        <v/>
      </c>
      <c r="G51" s="26" t="str">
        <f aca="false">IF($K51="","",IF(INDEX('All Devices (Master)'!$I:$I,$K51)=0,"",INDEX('All Devices (Master)'!$I:$I,$K51)))</f>
        <v/>
      </c>
      <c r="H51" s="26" t="str">
        <f aca="false">IF($K51="","",IF(INDEX('All Devices (Master)'!$J:$J,$K51)=0,"",INDEX('All Devices (Master)'!$J:$J,$K51)))</f>
        <v>Black &amp; White</v>
      </c>
      <c r="I51" s="26" t="str">
        <f aca="false">IF($K51="","",INDEX('All Devices (Master)'!$V:$V,$K51))</f>
        <v/>
      </c>
      <c r="K51" s="1" t="n">
        <f aca="false">IFERROR(MATCH("W-"&amp;49,'All Devices (Master)'!$U:$U,0),"")</f>
        <v>89</v>
      </c>
    </row>
    <row r="52" customFormat="false" ht="15" hidden="false" customHeight="true" outlineLevel="0" collapsed="false">
      <c r="A52" s="40" t="n">
        <f aca="false">IF($K52="","",50)</f>
        <v>50</v>
      </c>
      <c r="B52" s="32" t="str">
        <f aca="false">IF($K52="","",INDEX('All Devices (Master)'!$D:$D,$K52))</f>
        <v>X628</v>
      </c>
      <c r="C52" s="32" t="str">
        <f aca="false">IF($K52="","",INDEX('All Devices (Master)'!$E:$E,$K52))</f>
        <v>Ethul kotte</v>
      </c>
      <c r="D52" s="32" t="str">
        <f aca="false">IF($K52="","",INDEX('All Devices (Master)'!$F:$F,$K52))</f>
        <v>0065653040013</v>
      </c>
      <c r="E52" s="32" t="str">
        <f aca="false">IF($K52="","",INDEX('All Devices (Master)'!$G:$G,$K52))</f>
        <v>Working</v>
      </c>
      <c r="F52" s="32" t="str">
        <f aca="false">IF($K52="","",IF(INDEX('All Devices (Master)'!$H:$H,$K52)=0,"",INDEX('All Devices (Master)'!$H:$H,$K52)))</f>
        <v/>
      </c>
      <c r="G52" s="32" t="str">
        <f aca="false">IF($K52="","",IF(INDEX('All Devices (Master)'!$I:$I,$K52)=0,"",INDEX('All Devices (Master)'!$I:$I,$K52)))</f>
        <v/>
      </c>
      <c r="H52" s="32" t="str">
        <f aca="false">IF($K52="","",IF(INDEX('All Devices (Master)'!$J:$J,$K52)=0,"",INDEX('All Devices (Master)'!$J:$J,$K52)))</f>
        <v>Black &amp; White</v>
      </c>
      <c r="I52" s="32" t="str">
        <f aca="false">IF($K52="","",INDEX('All Devices (Master)'!$V:$V,$K52))</f>
        <v/>
      </c>
      <c r="K52" s="1" t="n">
        <f aca="false">IFERROR(MATCH("W-"&amp;50,'All Devices (Master)'!$U:$U,0),"")</f>
        <v>94</v>
      </c>
    </row>
    <row r="53" customFormat="false" ht="15" hidden="false" customHeight="true" outlineLevel="0" collapsed="false">
      <c r="A53" s="39" t="n">
        <f aca="false">IF($K53="","",51)</f>
        <v>51</v>
      </c>
      <c r="B53" s="26" t="str">
        <f aca="false">IF($K53="","",INDEX('All Devices (Master)'!$D:$D,$K53))</f>
        <v>TX628</v>
      </c>
      <c r="C53" s="26" t="str">
        <f aca="false">IF($K53="","",INDEX('All Devices (Master)'!$E:$E,$K53))</f>
        <v>Delpe</v>
      </c>
      <c r="D53" s="26" t="str">
        <f aca="false">IF($K53="","",INDEX('All Devices (Master)'!$F:$F,$K53))</f>
        <v>AEYW092380606</v>
      </c>
      <c r="E53" s="26" t="str">
        <f aca="false">IF($K53="","",INDEX('All Devices (Master)'!$G:$G,$K53))</f>
        <v>Working</v>
      </c>
      <c r="F53" s="26" t="str">
        <f aca="false">IF($K53="","",IF(INDEX('All Devices (Master)'!$H:$H,$K53)=0,"",INDEX('All Devices (Master)'!$H:$H,$K53)))</f>
        <v/>
      </c>
      <c r="G53" s="26" t="str">
        <f aca="false">IF($K53="","",IF(INDEX('All Devices (Master)'!$I:$I,$K53)=0,"",INDEX('All Devices (Master)'!$I:$I,$K53)))</f>
        <v/>
      </c>
      <c r="H53" s="26" t="str">
        <f aca="false">IF($K53="","",IF(INDEX('All Devices (Master)'!$J:$J,$K53)=0,"",INDEX('All Devices (Master)'!$J:$J,$K53)))</f>
        <v>Colour</v>
      </c>
      <c r="I53" s="26" t="str">
        <f aca="false">IF($K53="","",INDEX('All Devices (Master)'!$V:$V,$K53))</f>
        <v/>
      </c>
      <c r="K53" s="1" t="n">
        <f aca="false">IFERROR(MATCH("W-"&amp;51,'All Devices (Master)'!$U:$U,0),"")</f>
        <v>95</v>
      </c>
    </row>
    <row r="54" customFormat="false" ht="15" hidden="false" customHeight="true" outlineLevel="0" collapsed="false">
      <c r="A54" s="40" t="n">
        <f aca="false">IF($K54="","",52)</f>
        <v>52</v>
      </c>
      <c r="B54" s="32" t="str">
        <f aca="false">IF($K54="","",INDEX('All Devices (Master)'!$D:$D,$K54))</f>
        <v>X628</v>
      </c>
      <c r="C54" s="32" t="str">
        <f aca="false">IF($K54="","",INDEX('All Devices (Master)'!$E:$E,$K54))</f>
        <v>kottawa 03</v>
      </c>
      <c r="D54" s="32" t="str">
        <f aca="false">IF($K54="","",INDEX('All Devices (Master)'!$F:$F,$K54))</f>
        <v>OLK609001608170</v>
      </c>
      <c r="E54" s="32" t="str">
        <f aca="false">IF($K54="","",INDEX('All Devices (Master)'!$G:$G,$K54))</f>
        <v>Working</v>
      </c>
      <c r="F54" s="32" t="str">
        <f aca="false">IF($K54="","",IF(INDEX('All Devices (Master)'!$H:$H,$K54)=0,"",INDEX('All Devices (Master)'!$H:$H,$K54)))</f>
        <v/>
      </c>
      <c r="G54" s="32" t="str">
        <f aca="false">IF($K54="","",IF(INDEX('All Devices (Master)'!$I:$I,$K54)=0,"",INDEX('All Devices (Master)'!$I:$I,$K54)))</f>
        <v/>
      </c>
      <c r="H54" s="32" t="str">
        <f aca="false">IF($K54="","",IF(INDEX('All Devices (Master)'!$J:$J,$K54)=0,"",INDEX('All Devices (Master)'!$J:$J,$K54)))</f>
        <v>Black &amp; White</v>
      </c>
      <c r="I54" s="32" t="str">
        <f aca="false">IF($K54="","",INDEX('All Devices (Master)'!$V:$V,$K54))</f>
        <v>Duplicate Serial No - verify device identity</v>
      </c>
      <c r="K54" s="1" t="n">
        <f aca="false">IFERROR(MATCH("W-"&amp;52,'All Devices (Master)'!$U:$U,0),"")</f>
        <v>96</v>
      </c>
    </row>
    <row r="55" customFormat="false" ht="15" hidden="false" customHeight="true" outlineLevel="0" collapsed="false">
      <c r="A55" s="39" t="n">
        <f aca="false">IF($K55="","",53)</f>
        <v>53</v>
      </c>
      <c r="B55" s="26" t="str">
        <f aca="false">IF($K55="","",INDEX('All Devices (Master)'!$D:$D,$K55))</f>
        <v>TX628</v>
      </c>
      <c r="C55" s="26" t="str">
        <f aca="false">IF($K55="","",INDEX('All Devices (Master)'!$E:$E,$K55))</f>
        <v>Kaduwela</v>
      </c>
      <c r="D55" s="26" t="str">
        <f aca="false">IF($K55="","",INDEX('All Devices (Master)'!$F:$F,$K55))</f>
        <v>6160062164902</v>
      </c>
      <c r="E55" s="26" t="str">
        <f aca="false">IF($K55="","",INDEX('All Devices (Master)'!$G:$G,$K55))</f>
        <v>Working</v>
      </c>
      <c r="F55" s="26" t="str">
        <f aca="false">IF($K55="","",IF(INDEX('All Devices (Master)'!$H:$H,$K55)=0,"",INDEX('All Devices (Master)'!$H:$H,$K55)))</f>
        <v/>
      </c>
      <c r="G55" s="26" t="str">
        <f aca="false">IF($K55="","",IF(INDEX('All Devices (Master)'!$I:$I,$K55)=0,"",INDEX('All Devices (Master)'!$I:$I,$K55)))</f>
        <v/>
      </c>
      <c r="H55" s="26" t="str">
        <f aca="false">IF($K55="","",IF(INDEX('All Devices (Master)'!$J:$J,$K55)=0,"",INDEX('All Devices (Master)'!$J:$J,$K55)))</f>
        <v>Colour</v>
      </c>
      <c r="I55" s="26" t="str">
        <f aca="false">IF($K55="","",INDEX('All Devices (Master)'!$V:$V,$K55))</f>
        <v/>
      </c>
      <c r="K55" s="1" t="n">
        <f aca="false">IFERROR(MATCH("W-"&amp;53,'All Devices (Master)'!$U:$U,0),"")</f>
        <v>97</v>
      </c>
    </row>
    <row r="56" customFormat="false" ht="15" hidden="false" customHeight="true" outlineLevel="0" collapsed="false">
      <c r="A56" s="40" t="n">
        <f aca="false">IF($K56="","",54)</f>
        <v>54</v>
      </c>
      <c r="B56" s="32" t="str">
        <f aca="false">IF($K56="","",INDEX('All Devices (Master)'!$D:$D,$K56))</f>
        <v>X628</v>
      </c>
      <c r="C56" s="32" t="str">
        <f aca="false">IF($K56="","",INDEX('All Devices (Master)'!$E:$E,$K56))</f>
        <v>Moratuwa 03</v>
      </c>
      <c r="D56" s="32" t="str">
        <f aca="false">IF($K56="","",INDEX('All Devices (Master)'!$F:$F,$K56))</f>
        <v>6006171200009</v>
      </c>
      <c r="E56" s="32" t="str">
        <f aca="false">IF($K56="","",INDEX('All Devices (Master)'!$G:$G,$K56))</f>
        <v>Working</v>
      </c>
      <c r="F56" s="32" t="str">
        <f aca="false">IF($K56="","",IF(INDEX('All Devices (Master)'!$H:$H,$K56)=0,"",INDEX('All Devices (Master)'!$H:$H,$K56)))</f>
        <v/>
      </c>
      <c r="G56" s="32" t="str">
        <f aca="false">IF($K56="","",IF(INDEX('All Devices (Master)'!$I:$I,$K56)=0,"",INDEX('All Devices (Master)'!$I:$I,$K56)))</f>
        <v/>
      </c>
      <c r="H56" s="32" t="str">
        <f aca="false">IF($K56="","",IF(INDEX('All Devices (Master)'!$J:$J,$K56)=0,"",INDEX('All Devices (Master)'!$J:$J,$K56)))</f>
        <v>Black &amp; White</v>
      </c>
      <c r="I56" s="32" t="str">
        <f aca="false">IF($K56="","",INDEX('All Devices (Master)'!$V:$V,$K56))</f>
        <v/>
      </c>
      <c r="K56" s="1" t="n">
        <f aca="false">IFERROR(MATCH("W-"&amp;54,'All Devices (Master)'!$U:$U,0),"")</f>
        <v>98</v>
      </c>
    </row>
    <row r="57" customFormat="false" ht="15" hidden="false" customHeight="true" outlineLevel="0" collapsed="false">
      <c r="A57" s="39" t="n">
        <f aca="false">IF($K57="","",55)</f>
        <v>55</v>
      </c>
      <c r="B57" s="26" t="str">
        <f aca="false">IF($K57="","",INDEX('All Devices (Master)'!$D:$D,$K57))</f>
        <v>X628</v>
      </c>
      <c r="C57" s="26" t="str">
        <f aca="false">IF($K57="","",INDEX('All Devices (Master)'!$E:$E,$K57))</f>
        <v>Maharagama 02</v>
      </c>
      <c r="D57" s="26" t="str">
        <f aca="false">IF($K57="","",INDEX('All Devices (Master)'!$F:$F,$K57))</f>
        <v>6006162500003</v>
      </c>
      <c r="E57" s="26" t="str">
        <f aca="false">IF($K57="","",INDEX('All Devices (Master)'!$G:$G,$K57))</f>
        <v>Working</v>
      </c>
      <c r="F57" s="26" t="str">
        <f aca="false">IF($K57="","",IF(INDEX('All Devices (Master)'!$H:$H,$K57)=0,"",INDEX('All Devices (Master)'!$H:$H,$K57)))</f>
        <v/>
      </c>
      <c r="G57" s="26" t="str">
        <f aca="false">IF($K57="","",IF(INDEX('All Devices (Master)'!$I:$I,$K57)=0,"",INDEX('All Devices (Master)'!$I:$I,$K57)))</f>
        <v/>
      </c>
      <c r="H57" s="26" t="str">
        <f aca="false">IF($K57="","",IF(INDEX('All Devices (Master)'!$J:$J,$K57)=0,"",INDEX('All Devices (Master)'!$J:$J,$K57)))</f>
        <v>Black &amp; White</v>
      </c>
      <c r="I57" s="26" t="str">
        <f aca="false">IF($K57="","",INDEX('All Devices (Master)'!$V:$V,$K57))</f>
        <v/>
      </c>
      <c r="K57" s="1" t="n">
        <f aca="false">IFERROR(MATCH("W-"&amp;55,'All Devices (Master)'!$U:$U,0),"")</f>
        <v>100</v>
      </c>
    </row>
    <row r="58" customFormat="false" ht="15" hidden="false" customHeight="true" outlineLevel="0" collapsed="false">
      <c r="A58" s="40" t="n">
        <f aca="false">IF($K58="","",56)</f>
        <v>56</v>
      </c>
      <c r="B58" s="32" t="str">
        <f aca="false">IF($K58="","",INDEX('All Devices (Master)'!$D:$D,$K58))</f>
        <v>X628</v>
      </c>
      <c r="C58" s="32" t="str">
        <f aca="false">IF($K58="","",INDEX('All Devices (Master)'!$E:$E,$K58))</f>
        <v>Homagama</v>
      </c>
      <c r="D58" s="32" t="str">
        <f aca="false">IF($K58="","",INDEX('All Devices (Master)'!$F:$F,$K58))</f>
        <v>6006162500001</v>
      </c>
      <c r="E58" s="32" t="str">
        <f aca="false">IF($K58="","",INDEX('All Devices (Master)'!$G:$G,$K58))</f>
        <v>Working</v>
      </c>
      <c r="F58" s="32" t="str">
        <f aca="false">IF($K58="","",IF(INDEX('All Devices (Master)'!$H:$H,$K58)=0,"",INDEX('All Devices (Master)'!$H:$H,$K58)))</f>
        <v/>
      </c>
      <c r="G58" s="32" t="str">
        <f aca="false">IF($K58="","",IF(INDEX('All Devices (Master)'!$I:$I,$K58)=0,"",INDEX('All Devices (Master)'!$I:$I,$K58)))</f>
        <v/>
      </c>
      <c r="H58" s="32" t="str">
        <f aca="false">IF($K58="","",IF(INDEX('All Devices (Master)'!$J:$J,$K58)=0,"",INDEX('All Devices (Master)'!$J:$J,$K58)))</f>
        <v>Black &amp; White</v>
      </c>
      <c r="I58" s="32" t="str">
        <f aca="false">IF($K58="","",INDEX('All Devices (Master)'!$V:$V,$K58))</f>
        <v/>
      </c>
      <c r="K58" s="1" t="n">
        <f aca="false">IFERROR(MATCH("W-"&amp;56,'All Devices (Master)'!$U:$U,0),"")</f>
        <v>105</v>
      </c>
    </row>
    <row r="59" customFormat="false" ht="15" hidden="false" customHeight="true" outlineLevel="0" collapsed="false">
      <c r="A59" s="39" t="n">
        <f aca="false">IF($K59="","",57)</f>
        <v>57</v>
      </c>
      <c r="B59" s="26" t="str">
        <f aca="false">IF($K59="","",INDEX('All Devices (Master)'!$D:$D,$K59))</f>
        <v>X628</v>
      </c>
      <c r="C59" s="26" t="str">
        <f aca="false">IF($K59="","",INDEX('All Devices (Master)'!$E:$E,$K59))</f>
        <v>Panadura 03</v>
      </c>
      <c r="D59" s="26" t="str">
        <f aca="false">IF($K59="","",INDEX('All Devices (Master)'!$F:$F,$K59))</f>
        <v>A5RN173460001</v>
      </c>
      <c r="E59" s="26" t="str">
        <f aca="false">IF($K59="","",INDEX('All Devices (Master)'!$G:$G,$K59))</f>
        <v>Working</v>
      </c>
      <c r="F59" s="26" t="str">
        <f aca="false">IF($K59="","",IF(INDEX('All Devices (Master)'!$H:$H,$K59)=0,"",INDEX('All Devices (Master)'!$H:$H,$K59)))</f>
        <v/>
      </c>
      <c r="G59" s="26" t="str">
        <f aca="false">IF($K59="","",IF(INDEX('All Devices (Master)'!$I:$I,$K59)=0,"",INDEX('All Devices (Master)'!$I:$I,$K59)))</f>
        <v/>
      </c>
      <c r="H59" s="26" t="str">
        <f aca="false">IF($K59="","",IF(INDEX('All Devices (Master)'!$J:$J,$K59)=0,"",INDEX('All Devices (Master)'!$J:$J,$K59)))</f>
        <v>Black &amp; White</v>
      </c>
      <c r="I59" s="26" t="str">
        <f aca="false">IF($K59="","",INDEX('All Devices (Master)'!$V:$V,$K59))</f>
        <v/>
      </c>
      <c r="K59" s="1" t="n">
        <f aca="false">IFERROR(MATCH("W-"&amp;57,'All Devices (Master)'!$U:$U,0),"")</f>
        <v>106</v>
      </c>
    </row>
    <row r="60" customFormat="false" ht="15" hidden="false" customHeight="true" outlineLevel="0" collapsed="false">
      <c r="A60" s="40" t="n">
        <f aca="false">IF($K60="","",58)</f>
        <v>58</v>
      </c>
      <c r="B60" s="32" t="str">
        <f aca="false">IF($K60="","",INDEX('All Devices (Master)'!$D:$D,$K60))</f>
        <v>X628</v>
      </c>
      <c r="C60" s="32" t="str">
        <f aca="false">IF($K60="","",INDEX('All Devices (Master)'!$E:$E,$K60))</f>
        <v>Kelaniya</v>
      </c>
      <c r="D60" s="32" t="str">
        <f aca="false">IF($K60="","",INDEX('All Devices (Master)'!$F:$F,$K60))</f>
        <v>6006162500004</v>
      </c>
      <c r="E60" s="32" t="str">
        <f aca="false">IF($K60="","",INDEX('All Devices (Master)'!$G:$G,$K60))</f>
        <v>Working</v>
      </c>
      <c r="F60" s="32" t="str">
        <f aca="false">IF($K60="","",IF(INDEX('All Devices (Master)'!$H:$H,$K60)=0,"",INDEX('All Devices (Master)'!$H:$H,$K60)))</f>
        <v/>
      </c>
      <c r="G60" s="32" t="str">
        <f aca="false">IF($K60="","",IF(INDEX('All Devices (Master)'!$I:$I,$K60)=0,"",INDEX('All Devices (Master)'!$I:$I,$K60)))</f>
        <v/>
      </c>
      <c r="H60" s="32" t="str">
        <f aca="false">IF($K60="","",IF(INDEX('All Devices (Master)'!$J:$J,$K60)=0,"",INDEX('All Devices (Master)'!$J:$J,$K60)))</f>
        <v>Black &amp; White</v>
      </c>
      <c r="I60" s="32" t="str">
        <f aca="false">IF($K60="","",INDEX('All Devices (Master)'!$V:$V,$K60))</f>
        <v/>
      </c>
      <c r="K60" s="1" t="n">
        <f aca="false">IFERROR(MATCH("W-"&amp;58,'All Devices (Master)'!$U:$U,0),"")</f>
        <v>111</v>
      </c>
    </row>
    <row r="61" customFormat="false" ht="15" hidden="false" customHeight="true" outlineLevel="0" collapsed="false">
      <c r="A61" s="39" t="n">
        <f aca="false">IF($K61="","",59)</f>
        <v>59</v>
      </c>
      <c r="B61" s="26" t="str">
        <f aca="false">IF($K61="","",INDEX('All Devices (Master)'!$D:$D,$K61))</f>
        <v>X628</v>
      </c>
      <c r="C61" s="26" t="str">
        <f aca="false">IF($K61="","",INDEX('All Devices (Master)'!$E:$E,$K61))</f>
        <v>Kerawalapitiya</v>
      </c>
      <c r="D61" s="26" t="str">
        <f aca="false">IF($K61="","",INDEX('All Devices (Master)'!$F:$F,$K61))</f>
        <v>6006165100001</v>
      </c>
      <c r="E61" s="26" t="str">
        <f aca="false">IF($K61="","",INDEX('All Devices (Master)'!$G:$G,$K61))</f>
        <v>Working</v>
      </c>
      <c r="F61" s="26" t="str">
        <f aca="false">IF($K61="","",IF(INDEX('All Devices (Master)'!$H:$H,$K61)=0,"",INDEX('All Devices (Master)'!$H:$H,$K61)))</f>
        <v/>
      </c>
      <c r="G61" s="26" t="str">
        <f aca="false">IF($K61="","",IF(INDEX('All Devices (Master)'!$I:$I,$K61)=0,"",INDEX('All Devices (Master)'!$I:$I,$K61)))</f>
        <v/>
      </c>
      <c r="H61" s="26" t="str">
        <f aca="false">IF($K61="","",IF(INDEX('All Devices (Master)'!$J:$J,$K61)=0,"",INDEX('All Devices (Master)'!$J:$J,$K61)))</f>
        <v>Black &amp; White</v>
      </c>
      <c r="I61" s="26" t="str">
        <f aca="false">IF($K61="","",INDEX('All Devices (Master)'!$V:$V,$K61))</f>
        <v/>
      </c>
      <c r="K61" s="1" t="n">
        <f aca="false">IFERROR(MATCH("W-"&amp;59,'All Devices (Master)'!$U:$U,0),"")</f>
        <v>114</v>
      </c>
    </row>
    <row r="62" customFormat="false" ht="15" hidden="false" customHeight="true" outlineLevel="0" collapsed="false">
      <c r="A62" s="40" t="n">
        <f aca="false">IF($K62="","",60)</f>
        <v>60</v>
      </c>
      <c r="B62" s="32" t="str">
        <f aca="false">IF($K62="","",INDEX('All Devices (Master)'!$D:$D,$K62))</f>
        <v>X628</v>
      </c>
      <c r="C62" s="32" t="str">
        <f aca="false">IF($K62="","",INDEX('All Devices (Master)'!$E:$E,$K62))</f>
        <v>Kiribathgoda 02</v>
      </c>
      <c r="D62" s="32" t="str">
        <f aca="false">IF($K62="","",INDEX('All Devices (Master)'!$F:$F,$K62))</f>
        <v>6006171200002</v>
      </c>
      <c r="E62" s="32" t="str">
        <f aca="false">IF($K62="","",INDEX('All Devices (Master)'!$G:$G,$K62))</f>
        <v>Working</v>
      </c>
      <c r="F62" s="32" t="str">
        <f aca="false">IF($K62="","",IF(INDEX('All Devices (Master)'!$H:$H,$K62)=0,"",INDEX('All Devices (Master)'!$H:$H,$K62)))</f>
        <v/>
      </c>
      <c r="G62" s="32" t="str">
        <f aca="false">IF($K62="","",IF(INDEX('All Devices (Master)'!$I:$I,$K62)=0,"",INDEX('All Devices (Master)'!$I:$I,$K62)))</f>
        <v/>
      </c>
      <c r="H62" s="32" t="str">
        <f aca="false">IF($K62="","",IF(INDEX('All Devices (Master)'!$J:$J,$K62)=0,"",INDEX('All Devices (Master)'!$J:$J,$K62)))</f>
        <v>Black &amp; White</v>
      </c>
      <c r="I62" s="32" t="str">
        <f aca="false">IF($K62="","",INDEX('All Devices (Master)'!$V:$V,$K62))</f>
        <v/>
      </c>
      <c r="K62" s="1" t="n">
        <f aca="false">IFERROR(MATCH("W-"&amp;60,'All Devices (Master)'!$U:$U,0),"")</f>
        <v>115</v>
      </c>
    </row>
    <row r="63" customFormat="false" ht="15" hidden="false" customHeight="true" outlineLevel="0" collapsed="false">
      <c r="A63" s="39" t="n">
        <f aca="false">IF($K63="","",61)</f>
        <v>61</v>
      </c>
      <c r="B63" s="26" t="str">
        <f aca="false">IF($K63="","",INDEX('All Devices (Master)'!$D:$D,$K63))</f>
        <v>X628</v>
      </c>
      <c r="C63" s="26" t="str">
        <f aca="false">IF($K63="","",INDEX('All Devices (Master)'!$E:$E,$K63))</f>
        <v>Gorakana</v>
      </c>
      <c r="D63" s="26" t="str">
        <f aca="false">IF($K63="","",INDEX('All Devices (Master)'!$F:$F,$K63))</f>
        <v>A5SA182660005</v>
      </c>
      <c r="E63" s="26" t="str">
        <f aca="false">IF($K63="","",INDEX('All Devices (Master)'!$G:$G,$K63))</f>
        <v>Working</v>
      </c>
      <c r="F63" s="26" t="str">
        <f aca="false">IF($K63="","",IF(INDEX('All Devices (Master)'!$H:$H,$K63)=0,"",INDEX('All Devices (Master)'!$H:$H,$K63)))</f>
        <v/>
      </c>
      <c r="G63" s="26" t="str">
        <f aca="false">IF($K63="","",IF(INDEX('All Devices (Master)'!$I:$I,$K63)=0,"",INDEX('All Devices (Master)'!$I:$I,$K63)))</f>
        <v/>
      </c>
      <c r="H63" s="26" t="str">
        <f aca="false">IF($K63="","",IF(INDEX('All Devices (Master)'!$J:$J,$K63)=0,"",INDEX('All Devices (Master)'!$J:$J,$K63)))</f>
        <v>Black &amp; White</v>
      </c>
      <c r="I63" s="26" t="str">
        <f aca="false">IF($K63="","",INDEX('All Devices (Master)'!$V:$V,$K63))</f>
        <v/>
      </c>
      <c r="K63" s="1" t="n">
        <f aca="false">IFERROR(MATCH("W-"&amp;61,'All Devices (Master)'!$U:$U,0),"")</f>
        <v>116</v>
      </c>
    </row>
    <row r="64" customFormat="false" ht="15" hidden="false" customHeight="true" outlineLevel="0" collapsed="false">
      <c r="A64" s="40" t="n">
        <f aca="false">IF($K64="","",62)</f>
        <v>62</v>
      </c>
      <c r="B64" s="32" t="str">
        <f aca="false">IF($K64="","",INDEX('All Devices (Master)'!$D:$D,$K64))</f>
        <v>X628</v>
      </c>
      <c r="C64" s="32" t="str">
        <f aca="false">IF($K64="","",INDEX('All Devices (Master)'!$E:$E,$K64))</f>
        <v>Bandaragama</v>
      </c>
      <c r="D64" s="32" t="str">
        <f aca="false">IF($K64="","",INDEX('All Devices (Master)'!$F:$F,$K64))</f>
        <v>A5SA182660004</v>
      </c>
      <c r="E64" s="32" t="str">
        <f aca="false">IF($K64="","",INDEX('All Devices (Master)'!$G:$G,$K64))</f>
        <v>Working</v>
      </c>
      <c r="F64" s="32" t="str">
        <f aca="false">IF($K64="","",IF(INDEX('All Devices (Master)'!$H:$H,$K64)=0,"",INDEX('All Devices (Master)'!$H:$H,$K64)))</f>
        <v/>
      </c>
      <c r="G64" s="32" t="str">
        <f aca="false">IF($K64="","",IF(INDEX('All Devices (Master)'!$I:$I,$K64)=0,"",INDEX('All Devices (Master)'!$I:$I,$K64)))</f>
        <v/>
      </c>
      <c r="H64" s="32" t="str">
        <f aca="false">IF($K64="","",IF(INDEX('All Devices (Master)'!$J:$J,$K64)=0,"",INDEX('All Devices (Master)'!$J:$J,$K64)))</f>
        <v>Black &amp; White</v>
      </c>
      <c r="I64" s="32" t="str">
        <f aca="false">IF($K64="","",INDEX('All Devices (Master)'!$V:$V,$K64))</f>
        <v/>
      </c>
      <c r="K64" s="1" t="n">
        <f aca="false">IFERROR(MATCH("W-"&amp;62,'All Devices (Master)'!$U:$U,0),"")</f>
        <v>122</v>
      </c>
    </row>
    <row r="65" customFormat="false" ht="15" hidden="false" customHeight="true" outlineLevel="0" collapsed="false">
      <c r="A65" s="39" t="n">
        <f aca="false">IF($K65="","",63)</f>
        <v>63</v>
      </c>
      <c r="B65" s="26" t="str">
        <f aca="false">IF($K65="","",INDEX('All Devices (Master)'!$D:$D,$K65))</f>
        <v>X628</v>
      </c>
      <c r="C65" s="26" t="str">
        <f aca="false">IF($K65="","",INDEX('All Devices (Master)'!$E:$E,$K65))</f>
        <v>Rathnapura 01</v>
      </c>
      <c r="D65" s="26" t="str">
        <f aca="false">IF($K65="","",INDEX('All Devices (Master)'!$F:$F,$K65))</f>
        <v>6006171200003</v>
      </c>
      <c r="E65" s="26" t="str">
        <f aca="false">IF($K65="","",INDEX('All Devices (Master)'!$G:$G,$K65))</f>
        <v>Working</v>
      </c>
      <c r="F65" s="26" t="str">
        <f aca="false">IF($K65="","",IF(INDEX('All Devices (Master)'!$H:$H,$K65)=0,"",INDEX('All Devices (Master)'!$H:$H,$K65)))</f>
        <v/>
      </c>
      <c r="G65" s="26" t="str">
        <f aca="false">IF($K65="","",IF(INDEX('All Devices (Master)'!$I:$I,$K65)=0,"",INDEX('All Devices (Master)'!$I:$I,$K65)))</f>
        <v/>
      </c>
      <c r="H65" s="26" t="str">
        <f aca="false">IF($K65="","",IF(INDEX('All Devices (Master)'!$J:$J,$K65)=0,"",INDEX('All Devices (Master)'!$J:$J,$K65)))</f>
        <v>Black &amp; White</v>
      </c>
      <c r="I65" s="26" t="str">
        <f aca="false">IF($K65="","",INDEX('All Devices (Master)'!$V:$V,$K65))</f>
        <v/>
      </c>
      <c r="K65" s="1" t="n">
        <f aca="false">IFERROR(MATCH("W-"&amp;63,'All Devices (Master)'!$U:$U,0),"")</f>
        <v>123</v>
      </c>
    </row>
    <row r="66" customFormat="false" ht="15" hidden="false" customHeight="true" outlineLevel="0" collapsed="false">
      <c r="A66" s="40" t="n">
        <f aca="false">IF($K66="","",64)</f>
        <v>64</v>
      </c>
      <c r="B66" s="32" t="str">
        <f aca="false">IF($K66="","",INDEX('All Devices (Master)'!$D:$D,$K66))</f>
        <v>X628-C</v>
      </c>
      <c r="C66" s="32" t="str">
        <f aca="false">IF($K66="","",INDEX('All Devices (Master)'!$E:$E,$K66))</f>
        <v>Jaffna cc</v>
      </c>
      <c r="D66" s="32" t="str">
        <f aca="false">IF($K66="","",INDEX('All Devices (Master)'!$F:$F,$K66))</f>
        <v>AEG8243600004</v>
      </c>
      <c r="E66" s="32" t="str">
        <f aca="false">IF($K66="","",INDEX('All Devices (Master)'!$G:$G,$K66))</f>
        <v>Working</v>
      </c>
      <c r="F66" s="32" t="str">
        <f aca="false">IF($K66="","",IF(INDEX('All Devices (Master)'!$H:$H,$K66)=0,"",INDEX('All Devices (Master)'!$H:$H,$K66)))</f>
        <v/>
      </c>
      <c r="G66" s="32" t="str">
        <f aca="false">IF($K66="","",IF(INDEX('All Devices (Master)'!$I:$I,$K66)=0,"",INDEX('All Devices (Master)'!$I:$I,$K66)))</f>
        <v/>
      </c>
      <c r="H66" s="32" t="str">
        <f aca="false">IF($K66="","",IF(INDEX('All Devices (Master)'!$J:$J,$K66)=0,"",INDEX('All Devices (Master)'!$J:$J,$K66)))</f>
        <v>Colour</v>
      </c>
      <c r="I66" s="32" t="str">
        <f aca="false">IF($K66="","",INDEX('All Devices (Master)'!$V:$V,$K66))</f>
        <v/>
      </c>
      <c r="K66" s="1" t="n">
        <f aca="false">IFERROR(MATCH("W-"&amp;64,'All Devices (Master)'!$U:$U,0),"")</f>
        <v>124</v>
      </c>
    </row>
    <row r="67" customFormat="false" ht="15" hidden="false" customHeight="true" outlineLevel="0" collapsed="false">
      <c r="A67" s="39" t="n">
        <f aca="false">IF($K67="","",65)</f>
        <v>65</v>
      </c>
      <c r="B67" s="26" t="str">
        <f aca="false">IF($K67="","",INDEX('All Devices (Master)'!$D:$D,$K67))</f>
        <v>X628</v>
      </c>
      <c r="C67" s="26" t="str">
        <f aca="false">IF($K67="","",INDEX('All Devices (Master)'!$E:$E,$K67))</f>
        <v>Horana</v>
      </c>
      <c r="D67" s="26" t="str">
        <f aca="false">IF($K67="","",INDEX('All Devices (Master)'!$F:$F,$K67))</f>
        <v>CDQ9191460010</v>
      </c>
      <c r="E67" s="26" t="str">
        <f aca="false">IF($K67="","",INDEX('All Devices (Master)'!$G:$G,$K67))</f>
        <v>Working</v>
      </c>
      <c r="F67" s="26" t="str">
        <f aca="false">IF($K67="","",IF(INDEX('All Devices (Master)'!$H:$H,$K67)=0,"",INDEX('All Devices (Master)'!$H:$H,$K67)))</f>
        <v/>
      </c>
      <c r="G67" s="26" t="str">
        <f aca="false">IF($K67="","",IF(INDEX('All Devices (Master)'!$I:$I,$K67)=0,"",INDEX('All Devices (Master)'!$I:$I,$K67)))</f>
        <v/>
      </c>
      <c r="H67" s="26" t="str">
        <f aca="false">IF($K67="","",IF(INDEX('All Devices (Master)'!$J:$J,$K67)=0,"",INDEX('All Devices (Master)'!$J:$J,$K67)))</f>
        <v>Colour</v>
      </c>
      <c r="I67" s="26" t="str">
        <f aca="false">IF($K67="","",INDEX('All Devices (Master)'!$V:$V,$K67))</f>
        <v/>
      </c>
      <c r="K67" s="1" t="n">
        <f aca="false">IFERROR(MATCH("W-"&amp;65,'All Devices (Master)'!$U:$U,0),"")</f>
        <v>125</v>
      </c>
    </row>
    <row r="68" customFormat="false" ht="15" hidden="false" customHeight="true" outlineLevel="0" collapsed="false">
      <c r="A68" s="40" t="n">
        <f aca="false">IF($K68="","",66)</f>
        <v>66</v>
      </c>
      <c r="B68" s="32" t="str">
        <f aca="false">IF($K68="","",INDEX('All Devices (Master)'!$D:$D,$K68))</f>
        <v>X628</v>
      </c>
      <c r="C68" s="32" t="str">
        <f aca="false">IF($K68="","",INDEX('All Devices (Master)'!$E:$E,$K68))</f>
        <v>Rathnapura 02</v>
      </c>
      <c r="D68" s="32" t="str">
        <f aca="false">IF($K68="","",INDEX('All Devices (Master)'!$F:$F,$K68))</f>
        <v>CDQ9224660009</v>
      </c>
      <c r="E68" s="32" t="str">
        <f aca="false">IF($K68="","",INDEX('All Devices (Master)'!$G:$G,$K68))</f>
        <v>Working</v>
      </c>
      <c r="F68" s="32" t="str">
        <f aca="false">IF($K68="","",IF(INDEX('All Devices (Master)'!$H:$H,$K68)=0,"",INDEX('All Devices (Master)'!$H:$H,$K68)))</f>
        <v/>
      </c>
      <c r="G68" s="32" t="str">
        <f aca="false">IF($K68="","",IF(INDEX('All Devices (Master)'!$I:$I,$K68)=0,"",INDEX('All Devices (Master)'!$I:$I,$K68)))</f>
        <v/>
      </c>
      <c r="H68" s="32" t="str">
        <f aca="false">IF($K68="","",IF(INDEX('All Devices (Master)'!$J:$J,$K68)=0,"",INDEX('All Devices (Master)'!$J:$J,$K68)))</f>
        <v>Colour</v>
      </c>
      <c r="I68" s="32" t="str">
        <f aca="false">IF($K68="","",INDEX('All Devices (Master)'!$V:$V,$K68))</f>
        <v/>
      </c>
      <c r="K68" s="1" t="n">
        <f aca="false">IFERROR(MATCH("W-"&amp;66,'All Devices (Master)'!$U:$U,0),"")</f>
        <v>126</v>
      </c>
    </row>
    <row r="69" customFormat="false" ht="15" hidden="false" customHeight="true" outlineLevel="0" collapsed="false">
      <c r="A69" s="39" t="n">
        <f aca="false">IF($K69="","",67)</f>
        <v>67</v>
      </c>
      <c r="B69" s="26" t="str">
        <f aca="false">IF($K69="","",INDEX('All Devices (Master)'!$D:$D,$K69))</f>
        <v>X628-C</v>
      </c>
      <c r="C69" s="26" t="str">
        <f aca="false">IF($K69="","",INDEX('All Devices (Master)'!$E:$E,$K69))</f>
        <v>Jaffna</v>
      </c>
      <c r="D69" s="26" t="str">
        <f aca="false">IF($K69="","",INDEX('All Devices (Master)'!$F:$F,$K69))</f>
        <v>AEG8244700001</v>
      </c>
      <c r="E69" s="26" t="str">
        <f aca="false">IF($K69="","",INDEX('All Devices (Master)'!$G:$G,$K69))</f>
        <v>Working</v>
      </c>
      <c r="F69" s="26" t="str">
        <f aca="false">IF($K69="","",IF(INDEX('All Devices (Master)'!$H:$H,$K69)=0,"",INDEX('All Devices (Master)'!$H:$H,$K69)))</f>
        <v/>
      </c>
      <c r="G69" s="26" t="str">
        <f aca="false">IF($K69="","",IF(INDEX('All Devices (Master)'!$I:$I,$K69)=0,"",INDEX('All Devices (Master)'!$I:$I,$K69)))</f>
        <v/>
      </c>
      <c r="H69" s="26" t="str">
        <f aca="false">IF($K69="","",IF(INDEX('All Devices (Master)'!$J:$J,$K69)=0,"",INDEX('All Devices (Master)'!$J:$J,$K69)))</f>
        <v>Colour</v>
      </c>
      <c r="I69" s="26" t="str">
        <f aca="false">IF($K69="","",INDEX('All Devices (Master)'!$V:$V,$K69))</f>
        <v/>
      </c>
      <c r="K69" s="1" t="n">
        <f aca="false">IFERROR(MATCH("W-"&amp;67,'All Devices (Master)'!$U:$U,0),"")</f>
        <v>127</v>
      </c>
    </row>
    <row r="70" customFormat="false" ht="15" hidden="false" customHeight="true" outlineLevel="0" collapsed="false">
      <c r="A70" s="40" t="n">
        <f aca="false">IF($K70="","",68)</f>
        <v>68</v>
      </c>
      <c r="B70" s="32" t="str">
        <f aca="false">IF($K70="","",INDEX('All Devices (Master)'!$D:$D,$K70))</f>
        <v>TX628</v>
      </c>
      <c r="C70" s="32" t="str">
        <f aca="false">IF($K70="","",INDEX('All Devices (Master)'!$E:$E,$K70))</f>
        <v>Adikarigama CC</v>
      </c>
      <c r="D70" s="32" t="str">
        <f aca="false">IF($K70="","",INDEX('All Devices (Master)'!$F:$F,$K70))</f>
        <v>6160062170010</v>
      </c>
      <c r="E70" s="32" t="str">
        <f aca="false">IF($K70="","",INDEX('All Devices (Master)'!$G:$G,$K70))</f>
        <v>Working</v>
      </c>
      <c r="F70" s="32" t="str">
        <f aca="false">IF($K70="","",IF(INDEX('All Devices (Master)'!$H:$H,$K70)=0,"",INDEX('All Devices (Master)'!$H:$H,$K70)))</f>
        <v/>
      </c>
      <c r="G70" s="32" t="str">
        <f aca="false">IF($K70="","",IF(INDEX('All Devices (Master)'!$I:$I,$K70)=0,"",INDEX('All Devices (Master)'!$I:$I,$K70)))</f>
        <v>Sampath bank Stock</v>
      </c>
      <c r="H70" s="32" t="str">
        <f aca="false">IF($K70="","",IF(INDEX('All Devices (Master)'!$J:$J,$K70)=0,"",INDEX('All Devices (Master)'!$J:$J,$K70)))</f>
        <v>Colour</v>
      </c>
      <c r="I70" s="32" t="str">
        <f aca="false">IF($K70="","",INDEX('All Devices (Master)'!$V:$V,$K70))</f>
        <v/>
      </c>
      <c r="K70" s="1" t="n">
        <f aca="false">IFERROR(MATCH("W-"&amp;68,'All Devices (Master)'!$U:$U,0),"")</f>
        <v>128</v>
      </c>
    </row>
    <row r="71" customFormat="false" ht="15" hidden="false" customHeight="true" outlineLevel="0" collapsed="false">
      <c r="A71" s="39" t="n">
        <f aca="false">IF($K71="","",69)</f>
        <v>69</v>
      </c>
      <c r="B71" s="26" t="str">
        <f aca="false">IF($K71="","",INDEX('All Devices (Master)'!$D:$D,$K71))</f>
        <v>X628-C</v>
      </c>
      <c r="C71" s="26" t="str">
        <f aca="false">IF($K71="","",INDEX('All Devices (Master)'!$E:$E,$K71))</f>
        <v>Thambuththegama</v>
      </c>
      <c r="D71" s="26" t="str">
        <f aca="false">IF($K71="","",INDEX('All Devices (Master)'!$F:$F,$K71))</f>
        <v>AEG8242400001</v>
      </c>
      <c r="E71" s="26" t="str">
        <f aca="false">IF($K71="","",INDEX('All Devices (Master)'!$G:$G,$K71))</f>
        <v>Working</v>
      </c>
      <c r="F71" s="26" t="str">
        <f aca="false">IF($K71="","",IF(INDEX('All Devices (Master)'!$H:$H,$K71)=0,"",INDEX('All Devices (Master)'!$H:$H,$K71)))</f>
        <v/>
      </c>
      <c r="G71" s="26" t="str">
        <f aca="false">IF($K71="","",IF(INDEX('All Devices (Master)'!$I:$I,$K71)=0,"",INDEX('All Devices (Master)'!$I:$I,$K71)))</f>
        <v/>
      </c>
      <c r="H71" s="26" t="str">
        <f aca="false">IF($K71="","",IF(INDEX('All Devices (Master)'!$J:$J,$K71)=0,"",INDEX('All Devices (Master)'!$J:$J,$K71)))</f>
        <v>Colour</v>
      </c>
      <c r="I71" s="26" t="str">
        <f aca="false">IF($K71="","",INDEX('All Devices (Master)'!$V:$V,$K71))</f>
        <v/>
      </c>
      <c r="K71" s="1" t="n">
        <f aca="false">IFERROR(MATCH("W-"&amp;69,'All Devices (Master)'!$U:$U,0),"")</f>
        <v>129</v>
      </c>
    </row>
    <row r="72" customFormat="false" ht="15" hidden="false" customHeight="true" outlineLevel="0" collapsed="false">
      <c r="A72" s="40" t="n">
        <f aca="false">IF($K72="","",70)</f>
        <v>70</v>
      </c>
      <c r="B72" s="32" t="str">
        <f aca="false">IF($K72="","",INDEX('All Devices (Master)'!$D:$D,$K72))</f>
        <v>TX628</v>
      </c>
      <c r="C72" s="32" t="str">
        <f aca="false">IF($K72="","",INDEX('All Devices (Master)'!$E:$E,$K72))</f>
        <v>Maharagama 03</v>
      </c>
      <c r="D72" s="32" t="str">
        <f aca="false">IF($K72="","",INDEX('All Devices (Master)'!$F:$F,$K72))</f>
        <v>6160062164905</v>
      </c>
      <c r="E72" s="32" t="str">
        <f aca="false">IF($K72="","",INDEX('All Devices (Master)'!$G:$G,$K72))</f>
        <v>Working</v>
      </c>
      <c r="F72" s="32" t="str">
        <f aca="false">IF($K72="","",IF(INDEX('All Devices (Master)'!$H:$H,$K72)=0,"",INDEX('All Devices (Master)'!$H:$H,$K72)))</f>
        <v/>
      </c>
      <c r="G72" s="32" t="str">
        <f aca="false">IF($K72="","",IF(INDEX('All Devices (Master)'!$I:$I,$K72)=0,"",INDEX('All Devices (Master)'!$I:$I,$K72)))</f>
        <v>Sampath bank Stock</v>
      </c>
      <c r="H72" s="32" t="str">
        <f aca="false">IF($K72="","",IF(INDEX('All Devices (Master)'!$J:$J,$K72)=0,"",INDEX('All Devices (Master)'!$J:$J,$K72)))</f>
        <v>Colour</v>
      </c>
      <c r="I72" s="32" t="str">
        <f aca="false">IF($K72="","",INDEX('All Devices (Master)'!$V:$V,$K72))</f>
        <v/>
      </c>
      <c r="K72" s="1" t="n">
        <f aca="false">IFERROR(MATCH("W-"&amp;70,'All Devices (Master)'!$U:$U,0),"")</f>
        <v>130</v>
      </c>
    </row>
    <row r="73" customFormat="false" ht="15" hidden="false" customHeight="true" outlineLevel="0" collapsed="false">
      <c r="A73" s="39" t="n">
        <f aca="false">IF($K73="","",71)</f>
        <v>71</v>
      </c>
      <c r="B73" s="26" t="str">
        <f aca="false">IF($K73="","",INDEX('All Devices (Master)'!$D:$D,$K73))</f>
        <v>TX628</v>
      </c>
      <c r="C73" s="26" t="str">
        <f aca="false">IF($K73="","",INDEX('All Devices (Master)'!$E:$E,$K73))</f>
        <v>Hokandara</v>
      </c>
      <c r="D73" s="26" t="str">
        <f aca="false">IF($K73="","",INDEX('All Devices (Master)'!$F:$F,$K73))</f>
        <v>6160062170012</v>
      </c>
      <c r="E73" s="26" t="str">
        <f aca="false">IF($K73="","",INDEX('All Devices (Master)'!$G:$G,$K73))</f>
        <v>Working</v>
      </c>
      <c r="F73" s="26" t="str">
        <f aca="false">IF($K73="","",IF(INDEX('All Devices (Master)'!$H:$H,$K73)=0,"",INDEX('All Devices (Master)'!$H:$H,$K73)))</f>
        <v/>
      </c>
      <c r="G73" s="26" t="str">
        <f aca="false">IF($K73="","",IF(INDEX('All Devices (Master)'!$I:$I,$K73)=0,"",INDEX('All Devices (Master)'!$I:$I,$K73)))</f>
        <v>Sampath bank Stock</v>
      </c>
      <c r="H73" s="26" t="str">
        <f aca="false">IF($K73="","",IF(INDEX('All Devices (Master)'!$J:$J,$K73)=0,"",INDEX('All Devices (Master)'!$J:$J,$K73)))</f>
        <v>Colour</v>
      </c>
      <c r="I73" s="26" t="str">
        <f aca="false">IF($K73="","",INDEX('All Devices (Master)'!$V:$V,$K73))</f>
        <v/>
      </c>
      <c r="K73" s="1" t="n">
        <f aca="false">IFERROR(MATCH("W-"&amp;71,'All Devices (Master)'!$U:$U,0),"")</f>
        <v>132</v>
      </c>
    </row>
    <row r="74" customFormat="false" ht="15" hidden="false" customHeight="true" outlineLevel="0" collapsed="false">
      <c r="A74" s="40" t="n">
        <f aca="false">IF($K74="","",72)</f>
        <v>72</v>
      </c>
      <c r="B74" s="32" t="str">
        <f aca="false">IF($K74="","",INDEX('All Devices (Master)'!$D:$D,$K74))</f>
        <v>TX628</v>
      </c>
      <c r="C74" s="32" t="str">
        <f aca="false">IF($K74="","",INDEX('All Devices (Master)'!$E:$E,$K74))</f>
        <v>Katubedda</v>
      </c>
      <c r="D74" s="32" t="str">
        <f aca="false">IF($K74="","",INDEX('All Devices (Master)'!$F:$F,$K74))</f>
        <v>AEYW092380607</v>
      </c>
      <c r="E74" s="32" t="str">
        <f aca="false">IF($K74="","",INDEX('All Devices (Master)'!$G:$G,$K74))</f>
        <v>Working</v>
      </c>
      <c r="F74" s="32" t="str">
        <f aca="false">IF($K74="","",IF(INDEX('All Devices (Master)'!$H:$H,$K74)=0,"",INDEX('All Devices (Master)'!$H:$H,$K74)))</f>
        <v/>
      </c>
      <c r="G74" s="32" t="str">
        <f aca="false">IF($K74="","",IF(INDEX('All Devices (Master)'!$I:$I,$K74)=0,"",INDEX('All Devices (Master)'!$I:$I,$K74)))</f>
        <v>Sampath bank Stock</v>
      </c>
      <c r="H74" s="32" t="str">
        <f aca="false">IF($K74="","",IF(INDEX('All Devices (Master)'!$J:$J,$K74)=0,"",INDEX('All Devices (Master)'!$J:$J,$K74)))</f>
        <v>Colour</v>
      </c>
      <c r="I74" s="32" t="str">
        <f aca="false">IF($K74="","",INDEX('All Devices (Master)'!$V:$V,$K74))</f>
        <v/>
      </c>
      <c r="K74" s="1" t="n">
        <f aca="false">IFERROR(MATCH("W-"&amp;72,'All Devices (Master)'!$U:$U,0),"")</f>
        <v>133</v>
      </c>
    </row>
    <row r="75" customFormat="false" ht="15" hidden="false" customHeight="true" outlineLevel="0" collapsed="false">
      <c r="A75" s="39" t="n">
        <f aca="false">IF($K75="","",73)</f>
        <v>73</v>
      </c>
      <c r="B75" s="26" t="str">
        <f aca="false">IF($K75="","",INDEX('All Devices (Master)'!$D:$D,$K75))</f>
        <v>X628</v>
      </c>
      <c r="C75" s="26" t="str">
        <f aca="false">IF($K75="","",INDEX('All Devices (Master)'!$E:$E,$K75))</f>
        <v>Kurunegala 02</v>
      </c>
      <c r="D75" s="26" t="str">
        <f aca="false">IF($K75="","",INDEX('All Devices (Master)'!$F:$F,$K75))</f>
        <v>6006171200008</v>
      </c>
      <c r="E75" s="26" t="str">
        <f aca="false">IF($K75="","",INDEX('All Devices (Master)'!$G:$G,$K75))</f>
        <v>Working</v>
      </c>
      <c r="F75" s="26" t="str">
        <f aca="false">IF($K75="","",IF(INDEX('All Devices (Master)'!$H:$H,$K75)=0,"",INDEX('All Devices (Master)'!$H:$H,$K75)))</f>
        <v/>
      </c>
      <c r="G75" s="26" t="str">
        <f aca="false">IF($K75="","",IF(INDEX('All Devices (Master)'!$I:$I,$K75)=0,"",INDEX('All Devices (Master)'!$I:$I,$K75)))</f>
        <v/>
      </c>
      <c r="H75" s="26" t="str">
        <f aca="false">IF($K75="","",IF(INDEX('All Devices (Master)'!$J:$J,$K75)=0,"",INDEX('All Devices (Master)'!$J:$J,$K75)))</f>
        <v>Black &amp; White</v>
      </c>
      <c r="I75" s="26" t="str">
        <f aca="false">IF($K75="","",INDEX('All Devices (Master)'!$V:$V,$K75))</f>
        <v/>
      </c>
      <c r="K75" s="1" t="n">
        <f aca="false">IFERROR(MATCH("W-"&amp;73,'All Devices (Master)'!$U:$U,0),"")</f>
        <v>134</v>
      </c>
    </row>
    <row r="76" customFormat="false" ht="15" hidden="false" customHeight="true" outlineLevel="0" collapsed="false">
      <c r="A76" s="40" t="n">
        <f aca="false">IF($K76="","",74)</f>
        <v>74</v>
      </c>
      <c r="B76" s="32" t="str">
        <f aca="false">IF($K76="","",INDEX('All Devices (Master)'!$D:$D,$K76))</f>
        <v>X628</v>
      </c>
      <c r="C76" s="32" t="str">
        <f aca="false">IF($K76="","",INDEX('All Devices (Master)'!$E:$E,$K76))</f>
        <v>Sigiriya cc</v>
      </c>
      <c r="D76" s="32" t="str">
        <f aca="false">IF($K76="","",INDEX('All Devices (Master)'!$F:$F,$K76))</f>
        <v>A5RN173460005</v>
      </c>
      <c r="E76" s="32" t="str">
        <f aca="false">IF($K76="","",INDEX('All Devices (Master)'!$G:$G,$K76))</f>
        <v>Working</v>
      </c>
      <c r="F76" s="32" t="str">
        <f aca="false">IF($K76="","",IF(INDEX('All Devices (Master)'!$H:$H,$K76)=0,"",INDEX('All Devices (Master)'!$H:$H,$K76)))</f>
        <v/>
      </c>
      <c r="G76" s="32" t="str">
        <f aca="false">IF($K76="","",IF(INDEX('All Devices (Master)'!$I:$I,$K76)=0,"",INDEX('All Devices (Master)'!$I:$I,$K76)))</f>
        <v/>
      </c>
      <c r="H76" s="32" t="str">
        <f aca="false">IF($K76="","",IF(INDEX('All Devices (Master)'!$J:$J,$K76)=0,"",INDEX('All Devices (Master)'!$J:$J,$K76)))</f>
        <v>Black &amp; White</v>
      </c>
      <c r="I76" s="32" t="str">
        <f aca="false">IF($K76="","",INDEX('All Devices (Master)'!$V:$V,$K76))</f>
        <v/>
      </c>
      <c r="K76" s="1" t="n">
        <f aca="false">IFERROR(MATCH("W-"&amp;74,'All Devices (Master)'!$U:$U,0),"")</f>
        <v>135</v>
      </c>
    </row>
    <row r="77" customFormat="false" ht="15" hidden="false" customHeight="true" outlineLevel="0" collapsed="false">
      <c r="A77" s="39" t="n">
        <f aca="false">IF($K77="","",75)</f>
        <v>75</v>
      </c>
      <c r="B77" s="26" t="str">
        <f aca="false">IF($K77="","",INDEX('All Devices (Master)'!$D:$D,$K77))</f>
        <v>X628</v>
      </c>
      <c r="C77" s="26" t="str">
        <f aca="false">IF($K77="","",INDEX('All Devices (Master)'!$E:$E,$K77))</f>
        <v>Cris cat</v>
      </c>
      <c r="D77" s="26" t="str">
        <f aca="false">IF($K77="","",INDEX('All Devices (Master)'!$F:$F,$K77))</f>
        <v>6006144100021</v>
      </c>
      <c r="E77" s="26" t="str">
        <f aca="false">IF($K77="","",INDEX('All Devices (Master)'!$G:$G,$K77))</f>
        <v>Working</v>
      </c>
      <c r="F77" s="26" t="str">
        <f aca="false">IF($K77="","",IF(INDEX('All Devices (Master)'!$H:$H,$K77)=0,"",INDEX('All Devices (Master)'!$H:$H,$K77)))</f>
        <v/>
      </c>
      <c r="G77" s="26" t="str">
        <f aca="false">IF($K77="","",IF(INDEX('All Devices (Master)'!$I:$I,$K77)=0,"",INDEX('All Devices (Master)'!$I:$I,$K77)))</f>
        <v/>
      </c>
      <c r="H77" s="26" t="str">
        <f aca="false">IF($K77="","",IF(INDEX('All Devices (Master)'!$J:$J,$K77)=0,"",INDEX('All Devices (Master)'!$J:$J,$K77)))</f>
        <v>Black &amp; White</v>
      </c>
      <c r="I77" s="26" t="str">
        <f aca="false">IF($K77="","",INDEX('All Devices (Master)'!$V:$V,$K77))</f>
        <v/>
      </c>
      <c r="K77" s="1" t="n">
        <f aca="false">IFERROR(MATCH("W-"&amp;75,'All Devices (Master)'!$U:$U,0),"")</f>
        <v>136</v>
      </c>
    </row>
    <row r="78" customFormat="false" ht="15" hidden="false" customHeight="true" outlineLevel="0" collapsed="false">
      <c r="A78" s="40" t="n">
        <f aca="false">IF($K78="","",76)</f>
        <v>76</v>
      </c>
      <c r="B78" s="32" t="str">
        <f aca="false">IF($K78="","",INDEX('All Devices (Master)'!$D:$D,$K78))</f>
        <v>X628-C</v>
      </c>
      <c r="C78" s="32" t="str">
        <f aca="false">IF($K78="","",INDEX('All Devices (Master)'!$E:$E,$K78))</f>
        <v>unknown</v>
      </c>
      <c r="D78" s="32" t="str">
        <f aca="false">IF($K78="","",INDEX('All Devices (Master)'!$F:$F,$K78))</f>
        <v>CDQ9193960106</v>
      </c>
      <c r="E78" s="32" t="str">
        <f aca="false">IF($K78="","",INDEX('All Devices (Master)'!$G:$G,$K78))</f>
        <v>Working</v>
      </c>
      <c r="F78" s="32" t="str">
        <f aca="false">IF($K78="","",IF(INDEX('All Devices (Master)'!$H:$H,$K78)=0,"",INDEX('All Devices (Master)'!$H:$H,$K78)))</f>
        <v/>
      </c>
      <c r="G78" s="32" t="str">
        <f aca="false">IF($K78="","",IF(INDEX('All Devices (Master)'!$I:$I,$K78)=0,"",INDEX('All Devices (Master)'!$I:$I,$K78)))</f>
        <v/>
      </c>
      <c r="H78" s="32" t="str">
        <f aca="false">IF($K78="","",IF(INDEX('All Devices (Master)'!$J:$J,$K78)=0,"",INDEX('All Devices (Master)'!$J:$J,$K78)))</f>
        <v>Colour</v>
      </c>
      <c r="I78" s="32" t="str">
        <f aca="false">IF($K78="","",INDEX('All Devices (Master)'!$V:$V,$K78))</f>
        <v/>
      </c>
      <c r="K78" s="1" t="n">
        <f aca="false">IFERROR(MATCH("W-"&amp;76,'All Devices (Master)'!$U:$U,0),"")</f>
        <v>138</v>
      </c>
    </row>
    <row r="79" customFormat="false" ht="15" hidden="false" customHeight="true" outlineLevel="0" collapsed="false">
      <c r="A79" s="39" t="n">
        <f aca="false">IF($K79="","",77)</f>
        <v>77</v>
      </c>
      <c r="B79" s="26" t="str">
        <f aca="false">IF($K79="","",INDEX('All Devices (Master)'!$D:$D,$K79))</f>
        <v>X628-C</v>
      </c>
      <c r="C79" s="26" t="str">
        <f aca="false">IF($K79="","",INDEX('All Devices (Master)'!$E:$E,$K79))</f>
        <v>unknown</v>
      </c>
      <c r="D79" s="26" t="str">
        <f aca="false">IF($K79="","",INDEX('All Devices (Master)'!$F:$F,$K79))</f>
        <v>CDQ9184760005</v>
      </c>
      <c r="E79" s="26" t="str">
        <f aca="false">IF($K79="","",INDEX('All Devices (Master)'!$G:$G,$K79))</f>
        <v>Working</v>
      </c>
      <c r="F79" s="26" t="str">
        <f aca="false">IF($K79="","",IF(INDEX('All Devices (Master)'!$H:$H,$K79)=0,"",INDEX('All Devices (Master)'!$H:$H,$K79)))</f>
        <v/>
      </c>
      <c r="G79" s="26" t="str">
        <f aca="false">IF($K79="","",IF(INDEX('All Devices (Master)'!$I:$I,$K79)=0,"",INDEX('All Devices (Master)'!$I:$I,$K79)))</f>
        <v/>
      </c>
      <c r="H79" s="26" t="str">
        <f aca="false">IF($K79="","",IF(INDEX('All Devices (Master)'!$J:$J,$K79)=0,"",INDEX('All Devices (Master)'!$J:$J,$K79)))</f>
        <v>Colour</v>
      </c>
      <c r="I79" s="26" t="str">
        <f aca="false">IF($K79="","",INDEX('All Devices (Master)'!$V:$V,$K79))</f>
        <v/>
      </c>
      <c r="K79" s="1" t="n">
        <f aca="false">IFERROR(MATCH("W-"&amp;77,'All Devices (Master)'!$U:$U,0),"")</f>
        <v>139</v>
      </c>
    </row>
    <row r="80" customFormat="false" ht="15" hidden="false" customHeight="true" outlineLevel="0" collapsed="false">
      <c r="A80" s="40" t="n">
        <f aca="false">IF($K80="","",78)</f>
        <v>78</v>
      </c>
      <c r="B80" s="32" t="str">
        <f aca="false">IF($K80="","",INDEX('All Devices (Master)'!$D:$D,$K80))</f>
        <v>X628-C</v>
      </c>
      <c r="C80" s="32" t="str">
        <f aca="false">IF($K80="","",INDEX('All Devices (Master)'!$E:$E,$K80))</f>
        <v>unknown</v>
      </c>
      <c r="D80" s="32" t="str">
        <f aca="false">IF($K80="","",INDEX('All Devices (Master)'!$F:$F,$K80))</f>
        <v>CDQ9184760009</v>
      </c>
      <c r="E80" s="32" t="str">
        <f aca="false">IF($K80="","",INDEX('All Devices (Master)'!$G:$G,$K80))</f>
        <v>Working</v>
      </c>
      <c r="F80" s="32" t="str">
        <f aca="false">IF($K80="","",IF(INDEX('All Devices (Master)'!$H:$H,$K80)=0,"",INDEX('All Devices (Master)'!$H:$H,$K80)))</f>
        <v/>
      </c>
      <c r="G80" s="32" t="str">
        <f aca="false">IF($K80="","",IF(INDEX('All Devices (Master)'!$I:$I,$K80)=0,"",INDEX('All Devices (Master)'!$I:$I,$K80)))</f>
        <v/>
      </c>
      <c r="H80" s="32" t="str">
        <f aca="false">IF($K80="","",IF(INDEX('All Devices (Master)'!$J:$J,$K80)=0,"",INDEX('All Devices (Master)'!$J:$J,$K80)))</f>
        <v>Colour</v>
      </c>
      <c r="I80" s="32" t="str">
        <f aca="false">IF($K80="","",INDEX('All Devices (Master)'!$V:$V,$K80))</f>
        <v/>
      </c>
      <c r="K80" s="1" t="n">
        <f aca="false">IFERROR(MATCH("W-"&amp;78,'All Devices (Master)'!$U:$U,0),"")</f>
        <v>140</v>
      </c>
    </row>
    <row r="81" customFormat="false" ht="15" hidden="false" customHeight="true" outlineLevel="0" collapsed="false">
      <c r="A81" s="39" t="n">
        <f aca="false">IF($K81="","",79)</f>
        <v>79</v>
      </c>
      <c r="B81" s="26" t="str">
        <f aca="false">IF($K81="","",INDEX('All Devices (Master)'!$D:$D,$K81))</f>
        <v>X628</v>
      </c>
      <c r="C81" s="26" t="str">
        <f aca="false">IF($K81="","",INDEX('All Devices (Master)'!$E:$E,$K81))</f>
        <v>Marine Drive</v>
      </c>
      <c r="D81" s="26" t="str">
        <f aca="false">IF($K81="","",INDEX('All Devices (Master)'!$F:$F,$K81))</f>
        <v>6006154200003</v>
      </c>
      <c r="E81" s="26" t="str">
        <f aca="false">IF($K81="","",INDEX('All Devices (Master)'!$G:$G,$K81))</f>
        <v>Working</v>
      </c>
      <c r="F81" s="26" t="str">
        <f aca="false">IF($K81="","",IF(INDEX('All Devices (Master)'!$H:$H,$K81)=0,"",INDEX('All Devices (Master)'!$H:$H,$K81)))</f>
        <v/>
      </c>
      <c r="G81" s="26" t="str">
        <f aca="false">IF($K81="","",IF(INDEX('All Devices (Master)'!$I:$I,$K81)=0,"",INDEX('All Devices (Master)'!$I:$I,$K81)))</f>
        <v/>
      </c>
      <c r="H81" s="26" t="str">
        <f aca="false">IF($K81="","",IF(INDEX('All Devices (Master)'!$J:$J,$K81)=0,"",INDEX('All Devices (Master)'!$J:$J,$K81)))</f>
        <v>Black &amp; White</v>
      </c>
      <c r="I81" s="26" t="str">
        <f aca="false">IF($K81="","",INDEX('All Devices (Master)'!$V:$V,$K81))</f>
        <v/>
      </c>
      <c r="K81" s="1" t="n">
        <f aca="false">IFERROR(MATCH("W-"&amp;79,'All Devices (Master)'!$U:$U,0),"")</f>
        <v>144</v>
      </c>
    </row>
    <row r="82" customFormat="false" ht="15" hidden="false" customHeight="true" outlineLevel="0" collapsed="false">
      <c r="A82" s="40" t="n">
        <f aca="false">IF($K82="","",80)</f>
        <v>80</v>
      </c>
      <c r="B82" s="32" t="str">
        <f aca="false">IF($K82="","",INDEX('All Devices (Master)'!$D:$D,$K82))</f>
        <v>X628</v>
      </c>
      <c r="C82" s="32" t="str">
        <f aca="false">IF($K82="","",INDEX('All Devices (Master)'!$E:$E,$K82))</f>
        <v>Piliyandala</v>
      </c>
      <c r="D82" s="32" t="str">
        <f aca="false">IF($K82="","",INDEX('All Devices (Master)'!$F:$F,$K82))</f>
        <v>6006173400003</v>
      </c>
      <c r="E82" s="32" t="str">
        <f aca="false">IF($K82="","",INDEX('All Devices (Master)'!$G:$G,$K82))</f>
        <v>Working</v>
      </c>
      <c r="F82" s="32" t="str">
        <f aca="false">IF($K82="","",IF(INDEX('All Devices (Master)'!$H:$H,$K82)=0,"",INDEX('All Devices (Master)'!$H:$H,$K82)))</f>
        <v/>
      </c>
      <c r="G82" s="32" t="str">
        <f aca="false">IF($K82="","",IF(INDEX('All Devices (Master)'!$I:$I,$K82)=0,"",INDEX('All Devices (Master)'!$I:$I,$K82)))</f>
        <v/>
      </c>
      <c r="H82" s="32" t="str">
        <f aca="false">IF($K82="","",IF(INDEX('All Devices (Master)'!$J:$J,$K82)=0,"",INDEX('All Devices (Master)'!$J:$J,$K82)))</f>
        <v>Black &amp; White</v>
      </c>
      <c r="I82" s="32" t="str">
        <f aca="false">IF($K82="","",INDEX('All Devices (Master)'!$V:$V,$K82))</f>
        <v/>
      </c>
      <c r="K82" s="1" t="n">
        <f aca="false">IFERROR(MATCH("W-"&amp;80,'All Devices (Master)'!$U:$U,0),"")</f>
        <v>145</v>
      </c>
    </row>
    <row r="83" customFormat="false" ht="15" hidden="false" customHeight="true" outlineLevel="0" collapsed="false">
      <c r="A83" s="39" t="str">
        <f aca="false">IF($K83="","",81)</f>
        <v/>
      </c>
      <c r="B83" s="26" t="str">
        <f aca="false">IF($K83="","",INDEX('All Devices (Master)'!$D:$D,$K83))</f>
        <v/>
      </c>
      <c r="C83" s="26" t="str">
        <f aca="false">IF($K83="","",INDEX('All Devices (Master)'!$E:$E,$K83))</f>
        <v/>
      </c>
      <c r="D83" s="26" t="str">
        <f aca="false">IF($K83="","",INDEX('All Devices (Master)'!$F:$F,$K83))</f>
        <v/>
      </c>
      <c r="E83" s="26" t="str">
        <f aca="false">IF($K83="","",INDEX('All Devices (Master)'!$G:$G,$K83))</f>
        <v/>
      </c>
      <c r="F83" s="26" t="str">
        <f aca="false">IF($K83="","",IF(INDEX('All Devices (Master)'!$H:$H,$K83)=0,"",INDEX('All Devices (Master)'!$H:$H,$K83)))</f>
        <v/>
      </c>
      <c r="G83" s="26" t="str">
        <f aca="false">IF($K83="","",IF(INDEX('All Devices (Master)'!$I:$I,$K83)=0,"",INDEX('All Devices (Master)'!$I:$I,$K83)))</f>
        <v/>
      </c>
      <c r="H83" s="26" t="str">
        <f aca="false">IF($K83="","",IF(INDEX('All Devices (Master)'!$J:$J,$K83)=0,"",INDEX('All Devices (Master)'!$J:$J,$K83)))</f>
        <v/>
      </c>
      <c r="I83" s="26" t="str">
        <f aca="false">IF($K83="","",INDEX('All Devices (Master)'!$V:$V,$K83))</f>
        <v/>
      </c>
      <c r="K83" s="1" t="str">
        <f aca="false">IFERROR(MATCH("W-"&amp;81,'All Devices (Master)'!$U:$U,0),"")</f>
        <v/>
      </c>
    </row>
    <row r="84" customFormat="false" ht="15" hidden="false" customHeight="true" outlineLevel="0" collapsed="false">
      <c r="A84" s="40" t="str">
        <f aca="false">IF($K84="","",82)</f>
        <v/>
      </c>
      <c r="B84" s="32" t="str">
        <f aca="false">IF($K84="","",INDEX('All Devices (Master)'!$D:$D,$K84))</f>
        <v/>
      </c>
      <c r="C84" s="32" t="str">
        <f aca="false">IF($K84="","",INDEX('All Devices (Master)'!$E:$E,$K84))</f>
        <v/>
      </c>
      <c r="D84" s="32" t="str">
        <f aca="false">IF($K84="","",INDEX('All Devices (Master)'!$F:$F,$K84))</f>
        <v/>
      </c>
      <c r="E84" s="32" t="str">
        <f aca="false">IF($K84="","",INDEX('All Devices (Master)'!$G:$G,$K84))</f>
        <v/>
      </c>
      <c r="F84" s="32" t="str">
        <f aca="false">IF($K84="","",IF(INDEX('All Devices (Master)'!$H:$H,$K84)=0,"",INDEX('All Devices (Master)'!$H:$H,$K84)))</f>
        <v/>
      </c>
      <c r="G84" s="32" t="str">
        <f aca="false">IF($K84="","",IF(INDEX('All Devices (Master)'!$I:$I,$K84)=0,"",INDEX('All Devices (Master)'!$I:$I,$K84)))</f>
        <v/>
      </c>
      <c r="H84" s="32" t="str">
        <f aca="false">IF($K84="","",IF(INDEX('All Devices (Master)'!$J:$J,$K84)=0,"",INDEX('All Devices (Master)'!$J:$J,$K84)))</f>
        <v/>
      </c>
      <c r="I84" s="32" t="str">
        <f aca="false">IF($K84="","",INDEX('All Devices (Master)'!$V:$V,$K84))</f>
        <v/>
      </c>
      <c r="K84" s="1" t="str">
        <f aca="false">IFERROR(MATCH("W-"&amp;82,'All Devices (Master)'!$U:$U,0),"")</f>
        <v/>
      </c>
    </row>
    <row r="85" customFormat="false" ht="15" hidden="false" customHeight="true" outlineLevel="0" collapsed="false">
      <c r="A85" s="39" t="str">
        <f aca="false">IF($K85="","",83)</f>
        <v/>
      </c>
      <c r="B85" s="26" t="str">
        <f aca="false">IF($K85="","",INDEX('All Devices (Master)'!$D:$D,$K85))</f>
        <v/>
      </c>
      <c r="C85" s="26" t="str">
        <f aca="false">IF($K85="","",INDEX('All Devices (Master)'!$E:$E,$K85))</f>
        <v/>
      </c>
      <c r="D85" s="26" t="str">
        <f aca="false">IF($K85="","",INDEX('All Devices (Master)'!$F:$F,$K85))</f>
        <v/>
      </c>
      <c r="E85" s="26" t="str">
        <f aca="false">IF($K85="","",INDEX('All Devices (Master)'!$G:$G,$K85))</f>
        <v/>
      </c>
      <c r="F85" s="26" t="str">
        <f aca="false">IF($K85="","",IF(INDEX('All Devices (Master)'!$H:$H,$K85)=0,"",INDEX('All Devices (Master)'!$H:$H,$K85)))</f>
        <v/>
      </c>
      <c r="G85" s="26" t="str">
        <f aca="false">IF($K85="","",IF(INDEX('All Devices (Master)'!$I:$I,$K85)=0,"",INDEX('All Devices (Master)'!$I:$I,$K85)))</f>
        <v/>
      </c>
      <c r="H85" s="26" t="str">
        <f aca="false">IF($K85="","",IF(INDEX('All Devices (Master)'!$J:$J,$K85)=0,"",INDEX('All Devices (Master)'!$J:$J,$K85)))</f>
        <v/>
      </c>
      <c r="I85" s="26" t="str">
        <f aca="false">IF($K85="","",INDEX('All Devices (Master)'!$V:$V,$K85))</f>
        <v/>
      </c>
      <c r="K85" s="1" t="str">
        <f aca="false">IFERROR(MATCH("W-"&amp;83,'All Devices (Master)'!$U:$U,0),"")</f>
        <v/>
      </c>
    </row>
    <row r="86" customFormat="false" ht="15" hidden="false" customHeight="true" outlineLevel="0" collapsed="false">
      <c r="A86" s="40" t="str">
        <f aca="false">IF($K86="","",84)</f>
        <v/>
      </c>
      <c r="B86" s="32" t="str">
        <f aca="false">IF($K86="","",INDEX('All Devices (Master)'!$D:$D,$K86))</f>
        <v/>
      </c>
      <c r="C86" s="32" t="str">
        <f aca="false">IF($K86="","",INDEX('All Devices (Master)'!$E:$E,$K86))</f>
        <v/>
      </c>
      <c r="D86" s="32" t="str">
        <f aca="false">IF($K86="","",INDEX('All Devices (Master)'!$F:$F,$K86))</f>
        <v/>
      </c>
      <c r="E86" s="32" t="str">
        <f aca="false">IF($K86="","",INDEX('All Devices (Master)'!$G:$G,$K86))</f>
        <v/>
      </c>
      <c r="F86" s="32" t="str">
        <f aca="false">IF($K86="","",IF(INDEX('All Devices (Master)'!$H:$H,$K86)=0,"",INDEX('All Devices (Master)'!$H:$H,$K86)))</f>
        <v/>
      </c>
      <c r="G86" s="32" t="str">
        <f aca="false">IF($K86="","",IF(INDEX('All Devices (Master)'!$I:$I,$K86)=0,"",INDEX('All Devices (Master)'!$I:$I,$K86)))</f>
        <v/>
      </c>
      <c r="H86" s="32" t="str">
        <f aca="false">IF($K86="","",IF(INDEX('All Devices (Master)'!$J:$J,$K86)=0,"",INDEX('All Devices (Master)'!$J:$J,$K86)))</f>
        <v/>
      </c>
      <c r="I86" s="32" t="str">
        <f aca="false">IF($K86="","",INDEX('All Devices (Master)'!$V:$V,$K86))</f>
        <v/>
      </c>
      <c r="K86" s="1" t="str">
        <f aca="false">IFERROR(MATCH("W-"&amp;84,'All Devices (Master)'!$U:$U,0),"")</f>
        <v/>
      </c>
    </row>
    <row r="87" customFormat="false" ht="15" hidden="false" customHeight="true" outlineLevel="0" collapsed="false">
      <c r="A87" s="39" t="str">
        <f aca="false">IF($K87="","",85)</f>
        <v/>
      </c>
      <c r="B87" s="26" t="str">
        <f aca="false">IF($K87="","",INDEX('All Devices (Master)'!$D:$D,$K87))</f>
        <v/>
      </c>
      <c r="C87" s="26" t="str">
        <f aca="false">IF($K87="","",INDEX('All Devices (Master)'!$E:$E,$K87))</f>
        <v/>
      </c>
      <c r="D87" s="26" t="str">
        <f aca="false">IF($K87="","",INDEX('All Devices (Master)'!$F:$F,$K87))</f>
        <v/>
      </c>
      <c r="E87" s="26" t="str">
        <f aca="false">IF($K87="","",INDEX('All Devices (Master)'!$G:$G,$K87))</f>
        <v/>
      </c>
      <c r="F87" s="26" t="str">
        <f aca="false">IF($K87="","",IF(INDEX('All Devices (Master)'!$H:$H,$K87)=0,"",INDEX('All Devices (Master)'!$H:$H,$K87)))</f>
        <v/>
      </c>
      <c r="G87" s="26" t="str">
        <f aca="false">IF($K87="","",IF(INDEX('All Devices (Master)'!$I:$I,$K87)=0,"",INDEX('All Devices (Master)'!$I:$I,$K87)))</f>
        <v/>
      </c>
      <c r="H87" s="26" t="str">
        <f aca="false">IF($K87="","",IF(INDEX('All Devices (Master)'!$J:$J,$K87)=0,"",INDEX('All Devices (Master)'!$J:$J,$K87)))</f>
        <v/>
      </c>
      <c r="I87" s="26" t="str">
        <f aca="false">IF($K87="","",INDEX('All Devices (Master)'!$V:$V,$K87))</f>
        <v/>
      </c>
      <c r="K87" s="1" t="str">
        <f aca="false">IFERROR(MATCH("W-"&amp;85,'All Devices (Master)'!$U:$U,0),"")</f>
        <v/>
      </c>
    </row>
    <row r="88" customFormat="false" ht="15" hidden="false" customHeight="true" outlineLevel="0" collapsed="false">
      <c r="A88" s="40" t="str">
        <f aca="false">IF($K88="","",86)</f>
        <v/>
      </c>
      <c r="B88" s="32" t="str">
        <f aca="false">IF($K88="","",INDEX('All Devices (Master)'!$D:$D,$K88))</f>
        <v/>
      </c>
      <c r="C88" s="32" t="str">
        <f aca="false">IF($K88="","",INDEX('All Devices (Master)'!$E:$E,$K88))</f>
        <v/>
      </c>
      <c r="D88" s="32" t="str">
        <f aca="false">IF($K88="","",INDEX('All Devices (Master)'!$F:$F,$K88))</f>
        <v/>
      </c>
      <c r="E88" s="32" t="str">
        <f aca="false">IF($K88="","",INDEX('All Devices (Master)'!$G:$G,$K88))</f>
        <v/>
      </c>
      <c r="F88" s="32" t="str">
        <f aca="false">IF($K88="","",IF(INDEX('All Devices (Master)'!$H:$H,$K88)=0,"",INDEX('All Devices (Master)'!$H:$H,$K88)))</f>
        <v/>
      </c>
      <c r="G88" s="32" t="str">
        <f aca="false">IF($K88="","",IF(INDEX('All Devices (Master)'!$I:$I,$K88)=0,"",INDEX('All Devices (Master)'!$I:$I,$K88)))</f>
        <v/>
      </c>
      <c r="H88" s="32" t="str">
        <f aca="false">IF($K88="","",IF(INDEX('All Devices (Master)'!$J:$J,$K88)=0,"",INDEX('All Devices (Master)'!$J:$J,$K88)))</f>
        <v/>
      </c>
      <c r="I88" s="32" t="str">
        <f aca="false">IF($K88="","",INDEX('All Devices (Master)'!$V:$V,$K88))</f>
        <v/>
      </c>
      <c r="K88" s="1" t="str">
        <f aca="false">IFERROR(MATCH("W-"&amp;86,'All Devices (Master)'!$U:$U,0),"")</f>
        <v/>
      </c>
    </row>
    <row r="89" customFormat="false" ht="15" hidden="false" customHeight="true" outlineLevel="0" collapsed="false">
      <c r="A89" s="39" t="str">
        <f aca="false">IF($K89="","",87)</f>
        <v/>
      </c>
      <c r="B89" s="26" t="str">
        <f aca="false">IF($K89="","",INDEX('All Devices (Master)'!$D:$D,$K89))</f>
        <v/>
      </c>
      <c r="C89" s="26" t="str">
        <f aca="false">IF($K89="","",INDEX('All Devices (Master)'!$E:$E,$K89))</f>
        <v/>
      </c>
      <c r="D89" s="26" t="str">
        <f aca="false">IF($K89="","",INDEX('All Devices (Master)'!$F:$F,$K89))</f>
        <v/>
      </c>
      <c r="E89" s="26" t="str">
        <f aca="false">IF($K89="","",INDEX('All Devices (Master)'!$G:$G,$K89))</f>
        <v/>
      </c>
      <c r="F89" s="26" t="str">
        <f aca="false">IF($K89="","",IF(INDEX('All Devices (Master)'!$H:$H,$K89)=0,"",INDEX('All Devices (Master)'!$H:$H,$K89)))</f>
        <v/>
      </c>
      <c r="G89" s="26" t="str">
        <f aca="false">IF($K89="","",IF(INDEX('All Devices (Master)'!$I:$I,$K89)=0,"",INDEX('All Devices (Master)'!$I:$I,$K89)))</f>
        <v/>
      </c>
      <c r="H89" s="26" t="str">
        <f aca="false">IF($K89="","",IF(INDEX('All Devices (Master)'!$J:$J,$K89)=0,"",INDEX('All Devices (Master)'!$J:$J,$K89)))</f>
        <v/>
      </c>
      <c r="I89" s="26" t="str">
        <f aca="false">IF($K89="","",INDEX('All Devices (Master)'!$V:$V,$K89))</f>
        <v/>
      </c>
      <c r="K89" s="1" t="str">
        <f aca="false">IFERROR(MATCH("W-"&amp;87,'All Devices (Master)'!$U:$U,0),"")</f>
        <v/>
      </c>
    </row>
    <row r="90" customFormat="false" ht="15" hidden="false" customHeight="true" outlineLevel="0" collapsed="false">
      <c r="A90" s="40" t="str">
        <f aca="false">IF($K90="","",88)</f>
        <v/>
      </c>
      <c r="B90" s="32" t="str">
        <f aca="false">IF($K90="","",INDEX('All Devices (Master)'!$D:$D,$K90))</f>
        <v/>
      </c>
      <c r="C90" s="32" t="str">
        <f aca="false">IF($K90="","",INDEX('All Devices (Master)'!$E:$E,$K90))</f>
        <v/>
      </c>
      <c r="D90" s="32" t="str">
        <f aca="false">IF($K90="","",INDEX('All Devices (Master)'!$F:$F,$K90))</f>
        <v/>
      </c>
      <c r="E90" s="32" t="str">
        <f aca="false">IF($K90="","",INDEX('All Devices (Master)'!$G:$G,$K90))</f>
        <v/>
      </c>
      <c r="F90" s="32" t="str">
        <f aca="false">IF($K90="","",IF(INDEX('All Devices (Master)'!$H:$H,$K90)=0,"",INDEX('All Devices (Master)'!$H:$H,$K90)))</f>
        <v/>
      </c>
      <c r="G90" s="32" t="str">
        <f aca="false">IF($K90="","",IF(INDEX('All Devices (Master)'!$I:$I,$K90)=0,"",INDEX('All Devices (Master)'!$I:$I,$K90)))</f>
        <v/>
      </c>
      <c r="H90" s="32" t="str">
        <f aca="false">IF($K90="","",IF(INDEX('All Devices (Master)'!$J:$J,$K90)=0,"",INDEX('All Devices (Master)'!$J:$J,$K90)))</f>
        <v/>
      </c>
      <c r="I90" s="32" t="str">
        <f aca="false">IF($K90="","",INDEX('All Devices (Master)'!$V:$V,$K90))</f>
        <v/>
      </c>
      <c r="K90" s="1" t="str">
        <f aca="false">IFERROR(MATCH("W-"&amp;88,'All Devices (Master)'!$U:$U,0),"")</f>
        <v/>
      </c>
    </row>
    <row r="91" customFormat="false" ht="15" hidden="false" customHeight="true" outlineLevel="0" collapsed="false">
      <c r="A91" s="39" t="str">
        <f aca="false">IF($K91="","",89)</f>
        <v/>
      </c>
      <c r="B91" s="26" t="str">
        <f aca="false">IF($K91="","",INDEX('All Devices (Master)'!$D:$D,$K91))</f>
        <v/>
      </c>
      <c r="C91" s="26" t="str">
        <f aca="false">IF($K91="","",INDEX('All Devices (Master)'!$E:$E,$K91))</f>
        <v/>
      </c>
      <c r="D91" s="26" t="str">
        <f aca="false">IF($K91="","",INDEX('All Devices (Master)'!$F:$F,$K91))</f>
        <v/>
      </c>
      <c r="E91" s="26" t="str">
        <f aca="false">IF($K91="","",INDEX('All Devices (Master)'!$G:$G,$K91))</f>
        <v/>
      </c>
      <c r="F91" s="26" t="str">
        <f aca="false">IF($K91="","",IF(INDEX('All Devices (Master)'!$H:$H,$K91)=0,"",INDEX('All Devices (Master)'!$H:$H,$K91)))</f>
        <v/>
      </c>
      <c r="G91" s="26" t="str">
        <f aca="false">IF($K91="","",IF(INDEX('All Devices (Master)'!$I:$I,$K91)=0,"",INDEX('All Devices (Master)'!$I:$I,$K91)))</f>
        <v/>
      </c>
      <c r="H91" s="26" t="str">
        <f aca="false">IF($K91="","",IF(INDEX('All Devices (Master)'!$J:$J,$K91)=0,"",INDEX('All Devices (Master)'!$J:$J,$K91)))</f>
        <v/>
      </c>
      <c r="I91" s="26" t="str">
        <f aca="false">IF($K91="","",INDEX('All Devices (Master)'!$V:$V,$K91))</f>
        <v/>
      </c>
      <c r="K91" s="1" t="str">
        <f aca="false">IFERROR(MATCH("W-"&amp;89,'All Devices (Master)'!$U:$U,0),"")</f>
        <v/>
      </c>
    </row>
    <row r="92" customFormat="false" ht="15" hidden="false" customHeight="true" outlineLevel="0" collapsed="false">
      <c r="A92" s="40" t="str">
        <f aca="false">IF($K92="","",90)</f>
        <v/>
      </c>
      <c r="B92" s="32" t="str">
        <f aca="false">IF($K92="","",INDEX('All Devices (Master)'!$D:$D,$K92))</f>
        <v/>
      </c>
      <c r="C92" s="32" t="str">
        <f aca="false">IF($K92="","",INDEX('All Devices (Master)'!$E:$E,$K92))</f>
        <v/>
      </c>
      <c r="D92" s="32" t="str">
        <f aca="false">IF($K92="","",INDEX('All Devices (Master)'!$F:$F,$K92))</f>
        <v/>
      </c>
      <c r="E92" s="32" t="str">
        <f aca="false">IF($K92="","",INDEX('All Devices (Master)'!$G:$G,$K92))</f>
        <v/>
      </c>
      <c r="F92" s="32" t="str">
        <f aca="false">IF($K92="","",IF(INDEX('All Devices (Master)'!$H:$H,$K92)=0,"",INDEX('All Devices (Master)'!$H:$H,$K92)))</f>
        <v/>
      </c>
      <c r="G92" s="32" t="str">
        <f aca="false">IF($K92="","",IF(INDEX('All Devices (Master)'!$I:$I,$K92)=0,"",INDEX('All Devices (Master)'!$I:$I,$K92)))</f>
        <v/>
      </c>
      <c r="H92" s="32" t="str">
        <f aca="false">IF($K92="","",IF(INDEX('All Devices (Master)'!$J:$J,$K92)=0,"",INDEX('All Devices (Master)'!$J:$J,$K92)))</f>
        <v/>
      </c>
      <c r="I92" s="32" t="str">
        <f aca="false">IF($K92="","",INDEX('All Devices (Master)'!$V:$V,$K92))</f>
        <v/>
      </c>
      <c r="K92" s="1" t="str">
        <f aca="false">IFERROR(MATCH("W-"&amp;90,'All Devices (Master)'!$U:$U,0),"")</f>
        <v/>
      </c>
    </row>
    <row r="93" customFormat="false" ht="15" hidden="false" customHeight="true" outlineLevel="0" collapsed="false">
      <c r="A93" s="39" t="str">
        <f aca="false">IF($K93="","",91)</f>
        <v/>
      </c>
      <c r="B93" s="26" t="str">
        <f aca="false">IF($K93="","",INDEX('All Devices (Master)'!$D:$D,$K93))</f>
        <v/>
      </c>
      <c r="C93" s="26" t="str">
        <f aca="false">IF($K93="","",INDEX('All Devices (Master)'!$E:$E,$K93))</f>
        <v/>
      </c>
      <c r="D93" s="26" t="str">
        <f aca="false">IF($K93="","",INDEX('All Devices (Master)'!$F:$F,$K93))</f>
        <v/>
      </c>
      <c r="E93" s="26" t="str">
        <f aca="false">IF($K93="","",INDEX('All Devices (Master)'!$G:$G,$K93))</f>
        <v/>
      </c>
      <c r="F93" s="26" t="str">
        <f aca="false">IF($K93="","",IF(INDEX('All Devices (Master)'!$H:$H,$K93)=0,"",INDEX('All Devices (Master)'!$H:$H,$K93)))</f>
        <v/>
      </c>
      <c r="G93" s="26" t="str">
        <f aca="false">IF($K93="","",IF(INDEX('All Devices (Master)'!$I:$I,$K93)=0,"",INDEX('All Devices (Master)'!$I:$I,$K93)))</f>
        <v/>
      </c>
      <c r="H93" s="26" t="str">
        <f aca="false">IF($K93="","",IF(INDEX('All Devices (Master)'!$J:$J,$K93)=0,"",INDEX('All Devices (Master)'!$J:$J,$K93)))</f>
        <v/>
      </c>
      <c r="I93" s="26" t="str">
        <f aca="false">IF($K93="","",INDEX('All Devices (Master)'!$V:$V,$K93))</f>
        <v/>
      </c>
      <c r="K93" s="1" t="str">
        <f aca="false">IFERROR(MATCH("W-"&amp;91,'All Devices (Master)'!$U:$U,0),"")</f>
        <v/>
      </c>
    </row>
    <row r="94" customFormat="false" ht="15" hidden="false" customHeight="true" outlineLevel="0" collapsed="false">
      <c r="A94" s="40" t="str">
        <f aca="false">IF($K94="","",92)</f>
        <v/>
      </c>
      <c r="B94" s="32" t="str">
        <f aca="false">IF($K94="","",INDEX('All Devices (Master)'!$D:$D,$K94))</f>
        <v/>
      </c>
      <c r="C94" s="32" t="str">
        <f aca="false">IF($K94="","",INDEX('All Devices (Master)'!$E:$E,$K94))</f>
        <v/>
      </c>
      <c r="D94" s="32" t="str">
        <f aca="false">IF($K94="","",INDEX('All Devices (Master)'!$F:$F,$K94))</f>
        <v/>
      </c>
      <c r="E94" s="32" t="str">
        <f aca="false">IF($K94="","",INDEX('All Devices (Master)'!$G:$G,$K94))</f>
        <v/>
      </c>
      <c r="F94" s="32" t="str">
        <f aca="false">IF($K94="","",IF(INDEX('All Devices (Master)'!$H:$H,$K94)=0,"",INDEX('All Devices (Master)'!$H:$H,$K94)))</f>
        <v/>
      </c>
      <c r="G94" s="32" t="str">
        <f aca="false">IF($K94="","",IF(INDEX('All Devices (Master)'!$I:$I,$K94)=0,"",INDEX('All Devices (Master)'!$I:$I,$K94)))</f>
        <v/>
      </c>
      <c r="H94" s="32" t="str">
        <f aca="false">IF($K94="","",IF(INDEX('All Devices (Master)'!$J:$J,$K94)=0,"",INDEX('All Devices (Master)'!$J:$J,$K94)))</f>
        <v/>
      </c>
      <c r="I94" s="32" t="str">
        <f aca="false">IF($K94="","",INDEX('All Devices (Master)'!$V:$V,$K94))</f>
        <v/>
      </c>
      <c r="K94" s="1" t="str">
        <f aca="false">IFERROR(MATCH("W-"&amp;92,'All Devices (Master)'!$U:$U,0),"")</f>
        <v/>
      </c>
    </row>
    <row r="95" customFormat="false" ht="15" hidden="false" customHeight="true" outlineLevel="0" collapsed="false">
      <c r="A95" s="39" t="str">
        <f aca="false">IF($K95="","",93)</f>
        <v/>
      </c>
      <c r="B95" s="26" t="str">
        <f aca="false">IF($K95="","",INDEX('All Devices (Master)'!$D:$D,$K95))</f>
        <v/>
      </c>
      <c r="C95" s="26" t="str">
        <f aca="false">IF($K95="","",INDEX('All Devices (Master)'!$E:$E,$K95))</f>
        <v/>
      </c>
      <c r="D95" s="26" t="str">
        <f aca="false">IF($K95="","",INDEX('All Devices (Master)'!$F:$F,$K95))</f>
        <v/>
      </c>
      <c r="E95" s="26" t="str">
        <f aca="false">IF($K95="","",INDEX('All Devices (Master)'!$G:$G,$K95))</f>
        <v/>
      </c>
      <c r="F95" s="26" t="str">
        <f aca="false">IF($K95="","",IF(INDEX('All Devices (Master)'!$H:$H,$K95)=0,"",INDEX('All Devices (Master)'!$H:$H,$K95)))</f>
        <v/>
      </c>
      <c r="G95" s="26" t="str">
        <f aca="false">IF($K95="","",IF(INDEX('All Devices (Master)'!$I:$I,$K95)=0,"",INDEX('All Devices (Master)'!$I:$I,$K95)))</f>
        <v/>
      </c>
      <c r="H95" s="26" t="str">
        <f aca="false">IF($K95="","",IF(INDEX('All Devices (Master)'!$J:$J,$K95)=0,"",INDEX('All Devices (Master)'!$J:$J,$K95)))</f>
        <v/>
      </c>
      <c r="I95" s="26" t="str">
        <f aca="false">IF($K95="","",INDEX('All Devices (Master)'!$V:$V,$K95))</f>
        <v/>
      </c>
      <c r="K95" s="1" t="str">
        <f aca="false">IFERROR(MATCH("W-"&amp;93,'All Devices (Master)'!$U:$U,0),"")</f>
        <v/>
      </c>
    </row>
    <row r="96" customFormat="false" ht="15" hidden="false" customHeight="true" outlineLevel="0" collapsed="false">
      <c r="A96" s="40" t="str">
        <f aca="false">IF($K96="","",94)</f>
        <v/>
      </c>
      <c r="B96" s="32" t="str">
        <f aca="false">IF($K96="","",INDEX('All Devices (Master)'!$D:$D,$K96))</f>
        <v/>
      </c>
      <c r="C96" s="32" t="str">
        <f aca="false">IF($K96="","",INDEX('All Devices (Master)'!$E:$E,$K96))</f>
        <v/>
      </c>
      <c r="D96" s="32" t="str">
        <f aca="false">IF($K96="","",INDEX('All Devices (Master)'!$F:$F,$K96))</f>
        <v/>
      </c>
      <c r="E96" s="32" t="str">
        <f aca="false">IF($K96="","",INDEX('All Devices (Master)'!$G:$G,$K96))</f>
        <v/>
      </c>
      <c r="F96" s="32" t="str">
        <f aca="false">IF($K96="","",IF(INDEX('All Devices (Master)'!$H:$H,$K96)=0,"",INDEX('All Devices (Master)'!$H:$H,$K96)))</f>
        <v/>
      </c>
      <c r="G96" s="32" t="str">
        <f aca="false">IF($K96="","",IF(INDEX('All Devices (Master)'!$I:$I,$K96)=0,"",INDEX('All Devices (Master)'!$I:$I,$K96)))</f>
        <v/>
      </c>
      <c r="H96" s="32" t="str">
        <f aca="false">IF($K96="","",IF(INDEX('All Devices (Master)'!$J:$J,$K96)=0,"",INDEX('All Devices (Master)'!$J:$J,$K96)))</f>
        <v/>
      </c>
      <c r="I96" s="32" t="str">
        <f aca="false">IF($K96="","",INDEX('All Devices (Master)'!$V:$V,$K96))</f>
        <v/>
      </c>
      <c r="K96" s="1" t="str">
        <f aca="false">IFERROR(MATCH("W-"&amp;94,'All Devices (Master)'!$U:$U,0),"")</f>
        <v/>
      </c>
    </row>
    <row r="97" customFormat="false" ht="15" hidden="false" customHeight="true" outlineLevel="0" collapsed="false">
      <c r="A97" s="39" t="str">
        <f aca="false">IF($K97="","",95)</f>
        <v/>
      </c>
      <c r="B97" s="26" t="str">
        <f aca="false">IF($K97="","",INDEX('All Devices (Master)'!$D:$D,$K97))</f>
        <v/>
      </c>
      <c r="C97" s="26" t="str">
        <f aca="false">IF($K97="","",INDEX('All Devices (Master)'!$E:$E,$K97))</f>
        <v/>
      </c>
      <c r="D97" s="26" t="str">
        <f aca="false">IF($K97="","",INDEX('All Devices (Master)'!$F:$F,$K97))</f>
        <v/>
      </c>
      <c r="E97" s="26" t="str">
        <f aca="false">IF($K97="","",INDEX('All Devices (Master)'!$G:$G,$K97))</f>
        <v/>
      </c>
      <c r="F97" s="26" t="str">
        <f aca="false">IF($K97="","",IF(INDEX('All Devices (Master)'!$H:$H,$K97)=0,"",INDEX('All Devices (Master)'!$H:$H,$K97)))</f>
        <v/>
      </c>
      <c r="G97" s="26" t="str">
        <f aca="false">IF($K97="","",IF(INDEX('All Devices (Master)'!$I:$I,$K97)=0,"",INDEX('All Devices (Master)'!$I:$I,$K97)))</f>
        <v/>
      </c>
      <c r="H97" s="26" t="str">
        <f aca="false">IF($K97="","",IF(INDEX('All Devices (Master)'!$J:$J,$K97)=0,"",INDEX('All Devices (Master)'!$J:$J,$K97)))</f>
        <v/>
      </c>
      <c r="I97" s="26" t="str">
        <f aca="false">IF($K97="","",INDEX('All Devices (Master)'!$V:$V,$K97))</f>
        <v/>
      </c>
      <c r="K97" s="1" t="str">
        <f aca="false">IFERROR(MATCH("W-"&amp;95,'All Devices (Master)'!$U:$U,0),"")</f>
        <v/>
      </c>
    </row>
    <row r="98" customFormat="false" ht="15" hidden="false" customHeight="true" outlineLevel="0" collapsed="false">
      <c r="A98" s="40" t="str">
        <f aca="false">IF($K98="","",96)</f>
        <v/>
      </c>
      <c r="B98" s="32" t="str">
        <f aca="false">IF($K98="","",INDEX('All Devices (Master)'!$D:$D,$K98))</f>
        <v/>
      </c>
      <c r="C98" s="32" t="str">
        <f aca="false">IF($K98="","",INDEX('All Devices (Master)'!$E:$E,$K98))</f>
        <v/>
      </c>
      <c r="D98" s="32" t="str">
        <f aca="false">IF($K98="","",INDEX('All Devices (Master)'!$F:$F,$K98))</f>
        <v/>
      </c>
      <c r="E98" s="32" t="str">
        <f aca="false">IF($K98="","",INDEX('All Devices (Master)'!$G:$G,$K98))</f>
        <v/>
      </c>
      <c r="F98" s="32" t="str">
        <f aca="false">IF($K98="","",IF(INDEX('All Devices (Master)'!$H:$H,$K98)=0,"",INDEX('All Devices (Master)'!$H:$H,$K98)))</f>
        <v/>
      </c>
      <c r="G98" s="32" t="str">
        <f aca="false">IF($K98="","",IF(INDEX('All Devices (Master)'!$I:$I,$K98)=0,"",INDEX('All Devices (Master)'!$I:$I,$K98)))</f>
        <v/>
      </c>
      <c r="H98" s="32" t="str">
        <f aca="false">IF($K98="","",IF(INDEX('All Devices (Master)'!$J:$J,$K98)=0,"",INDEX('All Devices (Master)'!$J:$J,$K98)))</f>
        <v/>
      </c>
      <c r="I98" s="32" t="str">
        <f aca="false">IF($K98="","",INDEX('All Devices (Master)'!$V:$V,$K98))</f>
        <v/>
      </c>
      <c r="K98" s="1" t="str">
        <f aca="false">IFERROR(MATCH("W-"&amp;96,'All Devices (Master)'!$U:$U,0),"")</f>
        <v/>
      </c>
    </row>
    <row r="99" customFormat="false" ht="15" hidden="false" customHeight="true" outlineLevel="0" collapsed="false">
      <c r="A99" s="39" t="str">
        <f aca="false">IF($K99="","",97)</f>
        <v/>
      </c>
      <c r="B99" s="26" t="str">
        <f aca="false">IF($K99="","",INDEX('All Devices (Master)'!$D:$D,$K99))</f>
        <v/>
      </c>
      <c r="C99" s="26" t="str">
        <f aca="false">IF($K99="","",INDEX('All Devices (Master)'!$E:$E,$K99))</f>
        <v/>
      </c>
      <c r="D99" s="26" t="str">
        <f aca="false">IF($K99="","",INDEX('All Devices (Master)'!$F:$F,$K99))</f>
        <v/>
      </c>
      <c r="E99" s="26" t="str">
        <f aca="false">IF($K99="","",INDEX('All Devices (Master)'!$G:$G,$K99))</f>
        <v/>
      </c>
      <c r="F99" s="26" t="str">
        <f aca="false">IF($K99="","",IF(INDEX('All Devices (Master)'!$H:$H,$K99)=0,"",INDEX('All Devices (Master)'!$H:$H,$K99)))</f>
        <v/>
      </c>
      <c r="G99" s="26" t="str">
        <f aca="false">IF($K99="","",IF(INDEX('All Devices (Master)'!$I:$I,$K99)=0,"",INDEX('All Devices (Master)'!$I:$I,$K99)))</f>
        <v/>
      </c>
      <c r="H99" s="26" t="str">
        <f aca="false">IF($K99="","",IF(INDEX('All Devices (Master)'!$J:$J,$K99)=0,"",INDEX('All Devices (Master)'!$J:$J,$K99)))</f>
        <v/>
      </c>
      <c r="I99" s="26" t="str">
        <f aca="false">IF($K99="","",INDEX('All Devices (Master)'!$V:$V,$K99))</f>
        <v/>
      </c>
      <c r="K99" s="1" t="str">
        <f aca="false">IFERROR(MATCH("W-"&amp;97,'All Devices (Master)'!$U:$U,0),"")</f>
        <v/>
      </c>
    </row>
    <row r="100" customFormat="false" ht="15" hidden="false" customHeight="true" outlineLevel="0" collapsed="false">
      <c r="A100" s="40" t="str">
        <f aca="false">IF($K100="","",98)</f>
        <v/>
      </c>
      <c r="B100" s="32" t="str">
        <f aca="false">IF($K100="","",INDEX('All Devices (Master)'!$D:$D,$K100))</f>
        <v/>
      </c>
      <c r="C100" s="32" t="str">
        <f aca="false">IF($K100="","",INDEX('All Devices (Master)'!$E:$E,$K100))</f>
        <v/>
      </c>
      <c r="D100" s="32" t="str">
        <f aca="false">IF($K100="","",INDEX('All Devices (Master)'!$F:$F,$K100))</f>
        <v/>
      </c>
      <c r="E100" s="32" t="str">
        <f aca="false">IF($K100="","",INDEX('All Devices (Master)'!$G:$G,$K100))</f>
        <v/>
      </c>
      <c r="F100" s="32" t="str">
        <f aca="false">IF($K100="","",IF(INDEX('All Devices (Master)'!$H:$H,$K100)=0,"",INDEX('All Devices (Master)'!$H:$H,$K100)))</f>
        <v/>
      </c>
      <c r="G100" s="32" t="str">
        <f aca="false">IF($K100="","",IF(INDEX('All Devices (Master)'!$I:$I,$K100)=0,"",INDEX('All Devices (Master)'!$I:$I,$K100)))</f>
        <v/>
      </c>
      <c r="H100" s="32" t="str">
        <f aca="false">IF($K100="","",IF(INDEX('All Devices (Master)'!$J:$J,$K100)=0,"",INDEX('All Devices (Master)'!$J:$J,$K100)))</f>
        <v/>
      </c>
      <c r="I100" s="32" t="str">
        <f aca="false">IF($K100="","",INDEX('All Devices (Master)'!$V:$V,$K100))</f>
        <v/>
      </c>
      <c r="K100" s="1" t="str">
        <f aca="false">IFERROR(MATCH("W-"&amp;98,'All Devices (Master)'!$U:$U,0),"")</f>
        <v/>
      </c>
    </row>
    <row r="101" customFormat="false" ht="15" hidden="false" customHeight="true" outlineLevel="0" collapsed="false">
      <c r="A101" s="39" t="str">
        <f aca="false">IF($K101="","",99)</f>
        <v/>
      </c>
      <c r="B101" s="26" t="str">
        <f aca="false">IF($K101="","",INDEX('All Devices (Master)'!$D:$D,$K101))</f>
        <v/>
      </c>
      <c r="C101" s="26" t="str">
        <f aca="false">IF($K101="","",INDEX('All Devices (Master)'!$E:$E,$K101))</f>
        <v/>
      </c>
      <c r="D101" s="26" t="str">
        <f aca="false">IF($K101="","",INDEX('All Devices (Master)'!$F:$F,$K101))</f>
        <v/>
      </c>
      <c r="E101" s="26" t="str">
        <f aca="false">IF($K101="","",INDEX('All Devices (Master)'!$G:$G,$K101))</f>
        <v/>
      </c>
      <c r="F101" s="26" t="str">
        <f aca="false">IF($K101="","",IF(INDEX('All Devices (Master)'!$H:$H,$K101)=0,"",INDEX('All Devices (Master)'!$H:$H,$K101)))</f>
        <v/>
      </c>
      <c r="G101" s="26" t="str">
        <f aca="false">IF($K101="","",IF(INDEX('All Devices (Master)'!$I:$I,$K101)=0,"",INDEX('All Devices (Master)'!$I:$I,$K101)))</f>
        <v/>
      </c>
      <c r="H101" s="26" t="str">
        <f aca="false">IF($K101="","",IF(INDEX('All Devices (Master)'!$J:$J,$K101)=0,"",INDEX('All Devices (Master)'!$J:$J,$K101)))</f>
        <v/>
      </c>
      <c r="I101" s="26" t="str">
        <f aca="false">IF($K101="","",INDEX('All Devices (Master)'!$V:$V,$K101))</f>
        <v/>
      </c>
      <c r="K101" s="1" t="str">
        <f aca="false">IFERROR(MATCH("W-"&amp;99,'All Devices (Master)'!$U:$U,0),"")</f>
        <v/>
      </c>
    </row>
    <row r="102" customFormat="false" ht="15" hidden="false" customHeight="true" outlineLevel="0" collapsed="false">
      <c r="A102" s="40" t="str">
        <f aca="false">IF($K102="","",100)</f>
        <v/>
      </c>
      <c r="B102" s="32" t="str">
        <f aca="false">IF($K102="","",INDEX('All Devices (Master)'!$D:$D,$K102))</f>
        <v/>
      </c>
      <c r="C102" s="32" t="str">
        <f aca="false">IF($K102="","",INDEX('All Devices (Master)'!$E:$E,$K102))</f>
        <v/>
      </c>
      <c r="D102" s="32" t="str">
        <f aca="false">IF($K102="","",INDEX('All Devices (Master)'!$F:$F,$K102))</f>
        <v/>
      </c>
      <c r="E102" s="32" t="str">
        <f aca="false">IF($K102="","",INDEX('All Devices (Master)'!$G:$G,$K102))</f>
        <v/>
      </c>
      <c r="F102" s="32" t="str">
        <f aca="false">IF($K102="","",IF(INDEX('All Devices (Master)'!$H:$H,$K102)=0,"",INDEX('All Devices (Master)'!$H:$H,$K102)))</f>
        <v/>
      </c>
      <c r="G102" s="32" t="str">
        <f aca="false">IF($K102="","",IF(INDEX('All Devices (Master)'!$I:$I,$K102)=0,"",INDEX('All Devices (Master)'!$I:$I,$K102)))</f>
        <v/>
      </c>
      <c r="H102" s="32" t="str">
        <f aca="false">IF($K102="","",IF(INDEX('All Devices (Master)'!$J:$J,$K102)=0,"",INDEX('All Devices (Master)'!$J:$J,$K102)))</f>
        <v/>
      </c>
      <c r="I102" s="32" t="str">
        <f aca="false">IF($K102="","",INDEX('All Devices (Master)'!$V:$V,$K102))</f>
        <v/>
      </c>
      <c r="K102" s="1" t="str">
        <f aca="false">IFERROR(MATCH("W-"&amp;100,'All Devices (Master)'!$U:$U,0),"")</f>
        <v/>
      </c>
    </row>
    <row r="103" customFormat="false" ht="15" hidden="false" customHeight="true" outlineLevel="0" collapsed="false">
      <c r="A103" s="39" t="str">
        <f aca="false">IF($K103="","",101)</f>
        <v/>
      </c>
      <c r="B103" s="26" t="str">
        <f aca="false">IF($K103="","",INDEX('All Devices (Master)'!$D:$D,$K103))</f>
        <v/>
      </c>
      <c r="C103" s="26" t="str">
        <f aca="false">IF($K103="","",INDEX('All Devices (Master)'!$E:$E,$K103))</f>
        <v/>
      </c>
      <c r="D103" s="26" t="str">
        <f aca="false">IF($K103="","",INDEX('All Devices (Master)'!$F:$F,$K103))</f>
        <v/>
      </c>
      <c r="E103" s="26" t="str">
        <f aca="false">IF($K103="","",INDEX('All Devices (Master)'!$G:$G,$K103))</f>
        <v/>
      </c>
      <c r="F103" s="26" t="str">
        <f aca="false">IF($K103="","",IF(INDEX('All Devices (Master)'!$H:$H,$K103)=0,"",INDEX('All Devices (Master)'!$H:$H,$K103)))</f>
        <v/>
      </c>
      <c r="G103" s="26" t="str">
        <f aca="false">IF($K103="","",IF(INDEX('All Devices (Master)'!$I:$I,$K103)=0,"",INDEX('All Devices (Master)'!$I:$I,$K103)))</f>
        <v/>
      </c>
      <c r="H103" s="26" t="str">
        <f aca="false">IF($K103="","",IF(INDEX('All Devices (Master)'!$J:$J,$K103)=0,"",INDEX('All Devices (Master)'!$J:$J,$K103)))</f>
        <v/>
      </c>
      <c r="I103" s="26" t="str">
        <f aca="false">IF($K103="","",INDEX('All Devices (Master)'!$V:$V,$K103))</f>
        <v/>
      </c>
      <c r="K103" s="1" t="str">
        <f aca="false">IFERROR(MATCH("W-"&amp;101,'All Devices (Master)'!$U:$U,0),"")</f>
        <v/>
      </c>
    </row>
    <row r="104" customFormat="false" ht="15" hidden="false" customHeight="true" outlineLevel="0" collapsed="false">
      <c r="A104" s="40" t="str">
        <f aca="false">IF($K104="","",102)</f>
        <v/>
      </c>
      <c r="B104" s="32" t="str">
        <f aca="false">IF($K104="","",INDEX('All Devices (Master)'!$D:$D,$K104))</f>
        <v/>
      </c>
      <c r="C104" s="32" t="str">
        <f aca="false">IF($K104="","",INDEX('All Devices (Master)'!$E:$E,$K104))</f>
        <v/>
      </c>
      <c r="D104" s="32" t="str">
        <f aca="false">IF($K104="","",INDEX('All Devices (Master)'!$F:$F,$K104))</f>
        <v/>
      </c>
      <c r="E104" s="32" t="str">
        <f aca="false">IF($K104="","",INDEX('All Devices (Master)'!$G:$G,$K104))</f>
        <v/>
      </c>
      <c r="F104" s="32" t="str">
        <f aca="false">IF($K104="","",IF(INDEX('All Devices (Master)'!$H:$H,$K104)=0,"",INDEX('All Devices (Master)'!$H:$H,$K104)))</f>
        <v/>
      </c>
      <c r="G104" s="32" t="str">
        <f aca="false">IF($K104="","",IF(INDEX('All Devices (Master)'!$I:$I,$K104)=0,"",INDEX('All Devices (Master)'!$I:$I,$K104)))</f>
        <v/>
      </c>
      <c r="H104" s="32" t="str">
        <f aca="false">IF($K104="","",IF(INDEX('All Devices (Master)'!$J:$J,$K104)=0,"",INDEX('All Devices (Master)'!$J:$J,$K104)))</f>
        <v/>
      </c>
      <c r="I104" s="32" t="str">
        <f aca="false">IF($K104="","",INDEX('All Devices (Master)'!$V:$V,$K104))</f>
        <v/>
      </c>
      <c r="K104" s="1" t="str">
        <f aca="false">IFERROR(MATCH("W-"&amp;102,'All Devices (Master)'!$U:$U,0),"")</f>
        <v/>
      </c>
    </row>
    <row r="105" customFormat="false" ht="15" hidden="false" customHeight="true" outlineLevel="0" collapsed="false">
      <c r="A105" s="39" t="str">
        <f aca="false">IF($K105="","",103)</f>
        <v/>
      </c>
      <c r="B105" s="26" t="str">
        <f aca="false">IF($K105="","",INDEX('All Devices (Master)'!$D:$D,$K105))</f>
        <v/>
      </c>
      <c r="C105" s="26" t="str">
        <f aca="false">IF($K105="","",INDEX('All Devices (Master)'!$E:$E,$K105))</f>
        <v/>
      </c>
      <c r="D105" s="26" t="str">
        <f aca="false">IF($K105="","",INDEX('All Devices (Master)'!$F:$F,$K105))</f>
        <v/>
      </c>
      <c r="E105" s="26" t="str">
        <f aca="false">IF($K105="","",INDEX('All Devices (Master)'!$G:$G,$K105))</f>
        <v/>
      </c>
      <c r="F105" s="26" t="str">
        <f aca="false">IF($K105="","",IF(INDEX('All Devices (Master)'!$H:$H,$K105)=0,"",INDEX('All Devices (Master)'!$H:$H,$K105)))</f>
        <v/>
      </c>
      <c r="G105" s="26" t="str">
        <f aca="false">IF($K105="","",IF(INDEX('All Devices (Master)'!$I:$I,$K105)=0,"",INDEX('All Devices (Master)'!$I:$I,$K105)))</f>
        <v/>
      </c>
      <c r="H105" s="26" t="str">
        <f aca="false">IF($K105="","",IF(INDEX('All Devices (Master)'!$J:$J,$K105)=0,"",INDEX('All Devices (Master)'!$J:$J,$K105)))</f>
        <v/>
      </c>
      <c r="I105" s="26" t="str">
        <f aca="false">IF($K105="","",INDEX('All Devices (Master)'!$V:$V,$K105))</f>
        <v/>
      </c>
      <c r="K105" s="1" t="str">
        <f aca="false">IFERROR(MATCH("W-"&amp;103,'All Devices (Master)'!$U:$U,0),"")</f>
        <v/>
      </c>
    </row>
    <row r="106" customFormat="false" ht="15" hidden="false" customHeight="true" outlineLevel="0" collapsed="false">
      <c r="A106" s="40" t="str">
        <f aca="false">IF($K106="","",104)</f>
        <v/>
      </c>
      <c r="B106" s="32" t="str">
        <f aca="false">IF($K106="","",INDEX('All Devices (Master)'!$D:$D,$K106))</f>
        <v/>
      </c>
      <c r="C106" s="32" t="str">
        <f aca="false">IF($K106="","",INDEX('All Devices (Master)'!$E:$E,$K106))</f>
        <v/>
      </c>
      <c r="D106" s="32" t="str">
        <f aca="false">IF($K106="","",INDEX('All Devices (Master)'!$F:$F,$K106))</f>
        <v/>
      </c>
      <c r="E106" s="32" t="str">
        <f aca="false">IF($K106="","",INDEX('All Devices (Master)'!$G:$G,$K106))</f>
        <v/>
      </c>
      <c r="F106" s="32" t="str">
        <f aca="false">IF($K106="","",IF(INDEX('All Devices (Master)'!$H:$H,$K106)=0,"",INDEX('All Devices (Master)'!$H:$H,$K106)))</f>
        <v/>
      </c>
      <c r="G106" s="32" t="str">
        <f aca="false">IF($K106="","",IF(INDEX('All Devices (Master)'!$I:$I,$K106)=0,"",INDEX('All Devices (Master)'!$I:$I,$K106)))</f>
        <v/>
      </c>
      <c r="H106" s="32" t="str">
        <f aca="false">IF($K106="","",IF(INDEX('All Devices (Master)'!$J:$J,$K106)=0,"",INDEX('All Devices (Master)'!$J:$J,$K106)))</f>
        <v/>
      </c>
      <c r="I106" s="32" t="str">
        <f aca="false">IF($K106="","",INDEX('All Devices (Master)'!$V:$V,$K106))</f>
        <v/>
      </c>
      <c r="K106" s="1" t="str">
        <f aca="false">IFERROR(MATCH("W-"&amp;104,'All Devices (Master)'!$U:$U,0),"")</f>
        <v/>
      </c>
    </row>
    <row r="107" customFormat="false" ht="15" hidden="false" customHeight="true" outlineLevel="0" collapsed="false">
      <c r="A107" s="39" t="str">
        <f aca="false">IF($K107="","",105)</f>
        <v/>
      </c>
      <c r="B107" s="26" t="str">
        <f aca="false">IF($K107="","",INDEX('All Devices (Master)'!$D:$D,$K107))</f>
        <v/>
      </c>
      <c r="C107" s="26" t="str">
        <f aca="false">IF($K107="","",INDEX('All Devices (Master)'!$E:$E,$K107))</f>
        <v/>
      </c>
      <c r="D107" s="26" t="str">
        <f aca="false">IF($K107="","",INDEX('All Devices (Master)'!$F:$F,$K107))</f>
        <v/>
      </c>
      <c r="E107" s="26" t="str">
        <f aca="false">IF($K107="","",INDEX('All Devices (Master)'!$G:$G,$K107))</f>
        <v/>
      </c>
      <c r="F107" s="26" t="str">
        <f aca="false">IF($K107="","",IF(INDEX('All Devices (Master)'!$H:$H,$K107)=0,"",INDEX('All Devices (Master)'!$H:$H,$K107)))</f>
        <v/>
      </c>
      <c r="G107" s="26" t="str">
        <f aca="false">IF($K107="","",IF(INDEX('All Devices (Master)'!$I:$I,$K107)=0,"",INDEX('All Devices (Master)'!$I:$I,$K107)))</f>
        <v/>
      </c>
      <c r="H107" s="26" t="str">
        <f aca="false">IF($K107="","",IF(INDEX('All Devices (Master)'!$J:$J,$K107)=0,"",INDEX('All Devices (Master)'!$J:$J,$K107)))</f>
        <v/>
      </c>
      <c r="I107" s="26" t="str">
        <f aca="false">IF($K107="","",INDEX('All Devices (Master)'!$V:$V,$K107))</f>
        <v/>
      </c>
      <c r="K107" s="1" t="str">
        <f aca="false">IFERROR(MATCH("W-"&amp;105,'All Devices (Master)'!$U:$U,0),"")</f>
        <v/>
      </c>
    </row>
    <row r="108" customFormat="false" ht="15" hidden="false" customHeight="true" outlineLevel="0" collapsed="false">
      <c r="A108" s="40" t="str">
        <f aca="false">IF($K108="","",106)</f>
        <v/>
      </c>
      <c r="B108" s="32" t="str">
        <f aca="false">IF($K108="","",INDEX('All Devices (Master)'!$D:$D,$K108))</f>
        <v/>
      </c>
      <c r="C108" s="32" t="str">
        <f aca="false">IF($K108="","",INDEX('All Devices (Master)'!$E:$E,$K108))</f>
        <v/>
      </c>
      <c r="D108" s="32" t="str">
        <f aca="false">IF($K108="","",INDEX('All Devices (Master)'!$F:$F,$K108))</f>
        <v/>
      </c>
      <c r="E108" s="32" t="str">
        <f aca="false">IF($K108="","",INDEX('All Devices (Master)'!$G:$G,$K108))</f>
        <v/>
      </c>
      <c r="F108" s="32" t="str">
        <f aca="false">IF($K108="","",IF(INDEX('All Devices (Master)'!$H:$H,$K108)=0,"",INDEX('All Devices (Master)'!$H:$H,$K108)))</f>
        <v/>
      </c>
      <c r="G108" s="32" t="str">
        <f aca="false">IF($K108="","",IF(INDEX('All Devices (Master)'!$I:$I,$K108)=0,"",INDEX('All Devices (Master)'!$I:$I,$K108)))</f>
        <v/>
      </c>
      <c r="H108" s="32" t="str">
        <f aca="false">IF($K108="","",IF(INDEX('All Devices (Master)'!$J:$J,$K108)=0,"",INDEX('All Devices (Master)'!$J:$J,$K108)))</f>
        <v/>
      </c>
      <c r="I108" s="32" t="str">
        <f aca="false">IF($K108="","",INDEX('All Devices (Master)'!$V:$V,$K108))</f>
        <v/>
      </c>
      <c r="K108" s="1" t="str">
        <f aca="false">IFERROR(MATCH("W-"&amp;106,'All Devices (Master)'!$U:$U,0),"")</f>
        <v/>
      </c>
    </row>
    <row r="109" customFormat="false" ht="15" hidden="false" customHeight="true" outlineLevel="0" collapsed="false">
      <c r="A109" s="39" t="str">
        <f aca="false">IF($K109="","",107)</f>
        <v/>
      </c>
      <c r="B109" s="26" t="str">
        <f aca="false">IF($K109="","",INDEX('All Devices (Master)'!$D:$D,$K109))</f>
        <v/>
      </c>
      <c r="C109" s="26" t="str">
        <f aca="false">IF($K109="","",INDEX('All Devices (Master)'!$E:$E,$K109))</f>
        <v/>
      </c>
      <c r="D109" s="26" t="str">
        <f aca="false">IF($K109="","",INDEX('All Devices (Master)'!$F:$F,$K109))</f>
        <v/>
      </c>
      <c r="E109" s="26" t="str">
        <f aca="false">IF($K109="","",INDEX('All Devices (Master)'!$G:$G,$K109))</f>
        <v/>
      </c>
      <c r="F109" s="26" t="str">
        <f aca="false">IF($K109="","",IF(INDEX('All Devices (Master)'!$H:$H,$K109)=0,"",INDEX('All Devices (Master)'!$H:$H,$K109)))</f>
        <v/>
      </c>
      <c r="G109" s="26" t="str">
        <f aca="false">IF($K109="","",IF(INDEX('All Devices (Master)'!$I:$I,$K109)=0,"",INDEX('All Devices (Master)'!$I:$I,$K109)))</f>
        <v/>
      </c>
      <c r="H109" s="26" t="str">
        <f aca="false">IF($K109="","",IF(INDEX('All Devices (Master)'!$J:$J,$K109)=0,"",INDEX('All Devices (Master)'!$J:$J,$K109)))</f>
        <v/>
      </c>
      <c r="I109" s="26" t="str">
        <f aca="false">IF($K109="","",INDEX('All Devices (Master)'!$V:$V,$K109))</f>
        <v/>
      </c>
      <c r="K109" s="1" t="str">
        <f aca="false">IFERROR(MATCH("W-"&amp;107,'All Devices (Master)'!$U:$U,0),"")</f>
        <v/>
      </c>
    </row>
    <row r="110" customFormat="false" ht="15" hidden="false" customHeight="true" outlineLevel="0" collapsed="false">
      <c r="A110" s="40" t="str">
        <f aca="false">IF($K110="","",108)</f>
        <v/>
      </c>
      <c r="B110" s="32" t="str">
        <f aca="false">IF($K110="","",INDEX('All Devices (Master)'!$D:$D,$K110))</f>
        <v/>
      </c>
      <c r="C110" s="32" t="str">
        <f aca="false">IF($K110="","",INDEX('All Devices (Master)'!$E:$E,$K110))</f>
        <v/>
      </c>
      <c r="D110" s="32" t="str">
        <f aca="false">IF($K110="","",INDEX('All Devices (Master)'!$F:$F,$K110))</f>
        <v/>
      </c>
      <c r="E110" s="32" t="str">
        <f aca="false">IF($K110="","",INDEX('All Devices (Master)'!$G:$G,$K110))</f>
        <v/>
      </c>
      <c r="F110" s="32" t="str">
        <f aca="false">IF($K110="","",IF(INDEX('All Devices (Master)'!$H:$H,$K110)=0,"",INDEX('All Devices (Master)'!$H:$H,$K110)))</f>
        <v/>
      </c>
      <c r="G110" s="32" t="str">
        <f aca="false">IF($K110="","",IF(INDEX('All Devices (Master)'!$I:$I,$K110)=0,"",INDEX('All Devices (Master)'!$I:$I,$K110)))</f>
        <v/>
      </c>
      <c r="H110" s="32" t="str">
        <f aca="false">IF($K110="","",IF(INDEX('All Devices (Master)'!$J:$J,$K110)=0,"",INDEX('All Devices (Master)'!$J:$J,$K110)))</f>
        <v/>
      </c>
      <c r="I110" s="32" t="str">
        <f aca="false">IF($K110="","",INDEX('All Devices (Master)'!$V:$V,$K110))</f>
        <v/>
      </c>
      <c r="K110" s="1" t="str">
        <f aca="false">IFERROR(MATCH("W-"&amp;108,'All Devices (Master)'!$U:$U,0),"")</f>
        <v/>
      </c>
    </row>
    <row r="111" customFormat="false" ht="15" hidden="false" customHeight="true" outlineLevel="0" collapsed="false">
      <c r="A111" s="39" t="str">
        <f aca="false">IF($K111="","",109)</f>
        <v/>
      </c>
      <c r="B111" s="26" t="str">
        <f aca="false">IF($K111="","",INDEX('All Devices (Master)'!$D:$D,$K111))</f>
        <v/>
      </c>
      <c r="C111" s="26" t="str">
        <f aca="false">IF($K111="","",INDEX('All Devices (Master)'!$E:$E,$K111))</f>
        <v/>
      </c>
      <c r="D111" s="26" t="str">
        <f aca="false">IF($K111="","",INDEX('All Devices (Master)'!$F:$F,$K111))</f>
        <v/>
      </c>
      <c r="E111" s="26" t="str">
        <f aca="false">IF($K111="","",INDEX('All Devices (Master)'!$G:$G,$K111))</f>
        <v/>
      </c>
      <c r="F111" s="26" t="str">
        <f aca="false">IF($K111="","",IF(INDEX('All Devices (Master)'!$H:$H,$K111)=0,"",INDEX('All Devices (Master)'!$H:$H,$K111)))</f>
        <v/>
      </c>
      <c r="G111" s="26" t="str">
        <f aca="false">IF($K111="","",IF(INDEX('All Devices (Master)'!$I:$I,$K111)=0,"",INDEX('All Devices (Master)'!$I:$I,$K111)))</f>
        <v/>
      </c>
      <c r="H111" s="26" t="str">
        <f aca="false">IF($K111="","",IF(INDEX('All Devices (Master)'!$J:$J,$K111)=0,"",INDEX('All Devices (Master)'!$J:$J,$K111)))</f>
        <v/>
      </c>
      <c r="I111" s="26" t="str">
        <f aca="false">IF($K111="","",INDEX('All Devices (Master)'!$V:$V,$K111))</f>
        <v/>
      </c>
      <c r="K111" s="1" t="str">
        <f aca="false">IFERROR(MATCH("W-"&amp;109,'All Devices (Master)'!$U:$U,0),"")</f>
        <v/>
      </c>
    </row>
    <row r="112" customFormat="false" ht="15" hidden="false" customHeight="true" outlineLevel="0" collapsed="false">
      <c r="A112" s="40" t="str">
        <f aca="false">IF($K112="","",110)</f>
        <v/>
      </c>
      <c r="B112" s="32" t="str">
        <f aca="false">IF($K112="","",INDEX('All Devices (Master)'!$D:$D,$K112))</f>
        <v/>
      </c>
      <c r="C112" s="32" t="str">
        <f aca="false">IF($K112="","",INDEX('All Devices (Master)'!$E:$E,$K112))</f>
        <v/>
      </c>
      <c r="D112" s="32" t="str">
        <f aca="false">IF($K112="","",INDEX('All Devices (Master)'!$F:$F,$K112))</f>
        <v/>
      </c>
      <c r="E112" s="32" t="str">
        <f aca="false">IF($K112="","",INDEX('All Devices (Master)'!$G:$G,$K112))</f>
        <v/>
      </c>
      <c r="F112" s="32" t="str">
        <f aca="false">IF($K112="","",IF(INDEX('All Devices (Master)'!$H:$H,$K112)=0,"",INDEX('All Devices (Master)'!$H:$H,$K112)))</f>
        <v/>
      </c>
      <c r="G112" s="32" t="str">
        <f aca="false">IF($K112="","",IF(INDEX('All Devices (Master)'!$I:$I,$K112)=0,"",INDEX('All Devices (Master)'!$I:$I,$K112)))</f>
        <v/>
      </c>
      <c r="H112" s="32" t="str">
        <f aca="false">IF($K112="","",IF(INDEX('All Devices (Master)'!$J:$J,$K112)=0,"",INDEX('All Devices (Master)'!$J:$J,$K112)))</f>
        <v/>
      </c>
      <c r="I112" s="32" t="str">
        <f aca="false">IF($K112="","",INDEX('All Devices (Master)'!$V:$V,$K112))</f>
        <v/>
      </c>
      <c r="K112" s="1" t="str">
        <f aca="false">IFERROR(MATCH("W-"&amp;110,'All Devices (Master)'!$U:$U,0),"")</f>
        <v/>
      </c>
    </row>
    <row r="113" customFormat="false" ht="15" hidden="false" customHeight="true" outlineLevel="0" collapsed="false">
      <c r="A113" s="39" t="str">
        <f aca="false">IF($K113="","",111)</f>
        <v/>
      </c>
      <c r="B113" s="26" t="str">
        <f aca="false">IF($K113="","",INDEX('All Devices (Master)'!$D:$D,$K113))</f>
        <v/>
      </c>
      <c r="C113" s="26" t="str">
        <f aca="false">IF($K113="","",INDEX('All Devices (Master)'!$E:$E,$K113))</f>
        <v/>
      </c>
      <c r="D113" s="26" t="str">
        <f aca="false">IF($K113="","",INDEX('All Devices (Master)'!$F:$F,$K113))</f>
        <v/>
      </c>
      <c r="E113" s="26" t="str">
        <f aca="false">IF($K113="","",INDEX('All Devices (Master)'!$G:$G,$K113))</f>
        <v/>
      </c>
      <c r="F113" s="26" t="str">
        <f aca="false">IF($K113="","",IF(INDEX('All Devices (Master)'!$H:$H,$K113)=0,"",INDEX('All Devices (Master)'!$H:$H,$K113)))</f>
        <v/>
      </c>
      <c r="G113" s="26" t="str">
        <f aca="false">IF($K113="","",IF(INDEX('All Devices (Master)'!$I:$I,$K113)=0,"",INDEX('All Devices (Master)'!$I:$I,$K113)))</f>
        <v/>
      </c>
      <c r="H113" s="26" t="str">
        <f aca="false">IF($K113="","",IF(INDEX('All Devices (Master)'!$J:$J,$K113)=0,"",INDEX('All Devices (Master)'!$J:$J,$K113)))</f>
        <v/>
      </c>
      <c r="I113" s="26" t="str">
        <f aca="false">IF($K113="","",INDEX('All Devices (Master)'!$V:$V,$K113))</f>
        <v/>
      </c>
      <c r="K113" s="1" t="str">
        <f aca="false">IFERROR(MATCH("W-"&amp;111,'All Devices (Master)'!$U:$U,0),"")</f>
        <v/>
      </c>
    </row>
    <row r="114" customFormat="false" ht="15" hidden="false" customHeight="true" outlineLevel="0" collapsed="false">
      <c r="A114" s="40" t="str">
        <f aca="false">IF($K114="","",112)</f>
        <v/>
      </c>
      <c r="B114" s="32" t="str">
        <f aca="false">IF($K114="","",INDEX('All Devices (Master)'!$D:$D,$K114))</f>
        <v/>
      </c>
      <c r="C114" s="32" t="str">
        <f aca="false">IF($K114="","",INDEX('All Devices (Master)'!$E:$E,$K114))</f>
        <v/>
      </c>
      <c r="D114" s="32" t="str">
        <f aca="false">IF($K114="","",INDEX('All Devices (Master)'!$F:$F,$K114))</f>
        <v/>
      </c>
      <c r="E114" s="32" t="str">
        <f aca="false">IF($K114="","",INDEX('All Devices (Master)'!$G:$G,$K114))</f>
        <v/>
      </c>
      <c r="F114" s="32" t="str">
        <f aca="false">IF($K114="","",IF(INDEX('All Devices (Master)'!$H:$H,$K114)=0,"",INDEX('All Devices (Master)'!$H:$H,$K114)))</f>
        <v/>
      </c>
      <c r="G114" s="32" t="str">
        <f aca="false">IF($K114="","",IF(INDEX('All Devices (Master)'!$I:$I,$K114)=0,"",INDEX('All Devices (Master)'!$I:$I,$K114)))</f>
        <v/>
      </c>
      <c r="H114" s="32" t="str">
        <f aca="false">IF($K114="","",IF(INDEX('All Devices (Master)'!$J:$J,$K114)=0,"",INDEX('All Devices (Master)'!$J:$J,$K114)))</f>
        <v/>
      </c>
      <c r="I114" s="32" t="str">
        <f aca="false">IF($K114="","",INDEX('All Devices (Master)'!$V:$V,$K114))</f>
        <v/>
      </c>
      <c r="K114" s="1" t="str">
        <f aca="false">IFERROR(MATCH("W-"&amp;112,'All Devices (Master)'!$U:$U,0),"")</f>
        <v/>
      </c>
    </row>
    <row r="115" customFormat="false" ht="15" hidden="false" customHeight="true" outlineLevel="0" collapsed="false">
      <c r="A115" s="39" t="str">
        <f aca="false">IF($K115="","",113)</f>
        <v/>
      </c>
      <c r="B115" s="26" t="str">
        <f aca="false">IF($K115="","",INDEX('All Devices (Master)'!$D:$D,$K115))</f>
        <v/>
      </c>
      <c r="C115" s="26" t="str">
        <f aca="false">IF($K115="","",INDEX('All Devices (Master)'!$E:$E,$K115))</f>
        <v/>
      </c>
      <c r="D115" s="26" t="str">
        <f aca="false">IF($K115="","",INDEX('All Devices (Master)'!$F:$F,$K115))</f>
        <v/>
      </c>
      <c r="E115" s="26" t="str">
        <f aca="false">IF($K115="","",INDEX('All Devices (Master)'!$G:$G,$K115))</f>
        <v/>
      </c>
      <c r="F115" s="26" t="str">
        <f aca="false">IF($K115="","",IF(INDEX('All Devices (Master)'!$H:$H,$K115)=0,"",INDEX('All Devices (Master)'!$H:$H,$K115)))</f>
        <v/>
      </c>
      <c r="G115" s="26" t="str">
        <f aca="false">IF($K115="","",IF(INDEX('All Devices (Master)'!$I:$I,$K115)=0,"",INDEX('All Devices (Master)'!$I:$I,$K115)))</f>
        <v/>
      </c>
      <c r="H115" s="26" t="str">
        <f aca="false">IF($K115="","",IF(INDEX('All Devices (Master)'!$J:$J,$K115)=0,"",INDEX('All Devices (Master)'!$J:$J,$K115)))</f>
        <v/>
      </c>
      <c r="I115" s="26" t="str">
        <f aca="false">IF($K115="","",INDEX('All Devices (Master)'!$V:$V,$K115))</f>
        <v/>
      </c>
      <c r="K115" s="1" t="str">
        <f aca="false">IFERROR(MATCH("W-"&amp;113,'All Devices (Master)'!$U:$U,0),"")</f>
        <v/>
      </c>
    </row>
    <row r="116" customFormat="false" ht="15" hidden="false" customHeight="true" outlineLevel="0" collapsed="false">
      <c r="A116" s="40" t="str">
        <f aca="false">IF($K116="","",114)</f>
        <v/>
      </c>
      <c r="B116" s="32" t="str">
        <f aca="false">IF($K116="","",INDEX('All Devices (Master)'!$D:$D,$K116))</f>
        <v/>
      </c>
      <c r="C116" s="32" t="str">
        <f aca="false">IF($K116="","",INDEX('All Devices (Master)'!$E:$E,$K116))</f>
        <v/>
      </c>
      <c r="D116" s="32" t="str">
        <f aca="false">IF($K116="","",INDEX('All Devices (Master)'!$F:$F,$K116))</f>
        <v/>
      </c>
      <c r="E116" s="32" t="str">
        <f aca="false">IF($K116="","",INDEX('All Devices (Master)'!$G:$G,$K116))</f>
        <v/>
      </c>
      <c r="F116" s="32" t="str">
        <f aca="false">IF($K116="","",IF(INDEX('All Devices (Master)'!$H:$H,$K116)=0,"",INDEX('All Devices (Master)'!$H:$H,$K116)))</f>
        <v/>
      </c>
      <c r="G116" s="32" t="str">
        <f aca="false">IF($K116="","",IF(INDEX('All Devices (Master)'!$I:$I,$K116)=0,"",INDEX('All Devices (Master)'!$I:$I,$K116)))</f>
        <v/>
      </c>
      <c r="H116" s="32" t="str">
        <f aca="false">IF($K116="","",IF(INDEX('All Devices (Master)'!$J:$J,$K116)=0,"",INDEX('All Devices (Master)'!$J:$J,$K116)))</f>
        <v/>
      </c>
      <c r="I116" s="32" t="str">
        <f aca="false">IF($K116="","",INDEX('All Devices (Master)'!$V:$V,$K116))</f>
        <v/>
      </c>
      <c r="K116" s="1" t="str">
        <f aca="false">IFERROR(MATCH("W-"&amp;114,'All Devices (Master)'!$U:$U,0),"")</f>
        <v/>
      </c>
    </row>
    <row r="117" customFormat="false" ht="15" hidden="false" customHeight="true" outlineLevel="0" collapsed="false">
      <c r="A117" s="39" t="str">
        <f aca="false">IF($K117="","",115)</f>
        <v/>
      </c>
      <c r="B117" s="26" t="str">
        <f aca="false">IF($K117="","",INDEX('All Devices (Master)'!$D:$D,$K117))</f>
        <v/>
      </c>
      <c r="C117" s="26" t="str">
        <f aca="false">IF($K117="","",INDEX('All Devices (Master)'!$E:$E,$K117))</f>
        <v/>
      </c>
      <c r="D117" s="26" t="str">
        <f aca="false">IF($K117="","",INDEX('All Devices (Master)'!$F:$F,$K117))</f>
        <v/>
      </c>
      <c r="E117" s="26" t="str">
        <f aca="false">IF($K117="","",INDEX('All Devices (Master)'!$G:$G,$K117))</f>
        <v/>
      </c>
      <c r="F117" s="26" t="str">
        <f aca="false">IF($K117="","",IF(INDEX('All Devices (Master)'!$H:$H,$K117)=0,"",INDEX('All Devices (Master)'!$H:$H,$K117)))</f>
        <v/>
      </c>
      <c r="G117" s="26" t="str">
        <f aca="false">IF($K117="","",IF(INDEX('All Devices (Master)'!$I:$I,$K117)=0,"",INDEX('All Devices (Master)'!$I:$I,$K117)))</f>
        <v/>
      </c>
      <c r="H117" s="26" t="str">
        <f aca="false">IF($K117="","",IF(INDEX('All Devices (Master)'!$J:$J,$K117)=0,"",INDEX('All Devices (Master)'!$J:$J,$K117)))</f>
        <v/>
      </c>
      <c r="I117" s="26" t="str">
        <f aca="false">IF($K117="","",INDEX('All Devices (Master)'!$V:$V,$K117))</f>
        <v/>
      </c>
      <c r="K117" s="1" t="str">
        <f aca="false">IFERROR(MATCH("W-"&amp;115,'All Devices (Master)'!$U:$U,0),"")</f>
        <v/>
      </c>
    </row>
    <row r="118" customFormat="false" ht="15" hidden="false" customHeight="true" outlineLevel="0" collapsed="false">
      <c r="A118" s="40" t="str">
        <f aca="false">IF($K118="","",116)</f>
        <v/>
      </c>
      <c r="B118" s="32" t="str">
        <f aca="false">IF($K118="","",INDEX('All Devices (Master)'!$D:$D,$K118))</f>
        <v/>
      </c>
      <c r="C118" s="32" t="str">
        <f aca="false">IF($K118="","",INDEX('All Devices (Master)'!$E:$E,$K118))</f>
        <v/>
      </c>
      <c r="D118" s="32" t="str">
        <f aca="false">IF($K118="","",INDEX('All Devices (Master)'!$F:$F,$K118))</f>
        <v/>
      </c>
      <c r="E118" s="32" t="str">
        <f aca="false">IF($K118="","",INDEX('All Devices (Master)'!$G:$G,$K118))</f>
        <v/>
      </c>
      <c r="F118" s="32" t="str">
        <f aca="false">IF($K118="","",IF(INDEX('All Devices (Master)'!$H:$H,$K118)=0,"",INDEX('All Devices (Master)'!$H:$H,$K118)))</f>
        <v/>
      </c>
      <c r="G118" s="32" t="str">
        <f aca="false">IF($K118="","",IF(INDEX('All Devices (Master)'!$I:$I,$K118)=0,"",INDEX('All Devices (Master)'!$I:$I,$K118)))</f>
        <v/>
      </c>
      <c r="H118" s="32" t="str">
        <f aca="false">IF($K118="","",IF(INDEX('All Devices (Master)'!$J:$J,$K118)=0,"",INDEX('All Devices (Master)'!$J:$J,$K118)))</f>
        <v/>
      </c>
      <c r="I118" s="32" t="str">
        <f aca="false">IF($K118="","",INDEX('All Devices (Master)'!$V:$V,$K118))</f>
        <v/>
      </c>
      <c r="K118" s="1" t="str">
        <f aca="false">IFERROR(MATCH("W-"&amp;116,'All Devices (Master)'!$U:$U,0),"")</f>
        <v/>
      </c>
    </row>
    <row r="119" customFormat="false" ht="15" hidden="false" customHeight="true" outlineLevel="0" collapsed="false">
      <c r="A119" s="39" t="str">
        <f aca="false">IF($K119="","",117)</f>
        <v/>
      </c>
      <c r="B119" s="26" t="str">
        <f aca="false">IF($K119="","",INDEX('All Devices (Master)'!$D:$D,$K119))</f>
        <v/>
      </c>
      <c r="C119" s="26" t="str">
        <f aca="false">IF($K119="","",INDEX('All Devices (Master)'!$E:$E,$K119))</f>
        <v/>
      </c>
      <c r="D119" s="26" t="str">
        <f aca="false">IF($K119="","",INDEX('All Devices (Master)'!$F:$F,$K119))</f>
        <v/>
      </c>
      <c r="E119" s="26" t="str">
        <f aca="false">IF($K119="","",INDEX('All Devices (Master)'!$G:$G,$K119))</f>
        <v/>
      </c>
      <c r="F119" s="26" t="str">
        <f aca="false">IF($K119="","",IF(INDEX('All Devices (Master)'!$H:$H,$K119)=0,"",INDEX('All Devices (Master)'!$H:$H,$K119)))</f>
        <v/>
      </c>
      <c r="G119" s="26" t="str">
        <f aca="false">IF($K119="","",IF(INDEX('All Devices (Master)'!$I:$I,$K119)=0,"",INDEX('All Devices (Master)'!$I:$I,$K119)))</f>
        <v/>
      </c>
      <c r="H119" s="26" t="str">
        <f aca="false">IF($K119="","",IF(INDEX('All Devices (Master)'!$J:$J,$K119)=0,"",INDEX('All Devices (Master)'!$J:$J,$K119)))</f>
        <v/>
      </c>
      <c r="I119" s="26" t="str">
        <f aca="false">IF($K119="","",INDEX('All Devices (Master)'!$V:$V,$K119))</f>
        <v/>
      </c>
      <c r="K119" s="1" t="str">
        <f aca="false">IFERROR(MATCH("W-"&amp;117,'All Devices (Master)'!$U:$U,0),"")</f>
        <v/>
      </c>
    </row>
    <row r="120" customFormat="false" ht="15" hidden="false" customHeight="true" outlineLevel="0" collapsed="false">
      <c r="A120" s="40" t="str">
        <f aca="false">IF($K120="","",118)</f>
        <v/>
      </c>
      <c r="B120" s="32" t="str">
        <f aca="false">IF($K120="","",INDEX('All Devices (Master)'!$D:$D,$K120))</f>
        <v/>
      </c>
      <c r="C120" s="32" t="str">
        <f aca="false">IF($K120="","",INDEX('All Devices (Master)'!$E:$E,$K120))</f>
        <v/>
      </c>
      <c r="D120" s="32" t="str">
        <f aca="false">IF($K120="","",INDEX('All Devices (Master)'!$F:$F,$K120))</f>
        <v/>
      </c>
      <c r="E120" s="32" t="str">
        <f aca="false">IF($K120="","",INDEX('All Devices (Master)'!$G:$G,$K120))</f>
        <v/>
      </c>
      <c r="F120" s="32" t="str">
        <f aca="false">IF($K120="","",IF(INDEX('All Devices (Master)'!$H:$H,$K120)=0,"",INDEX('All Devices (Master)'!$H:$H,$K120)))</f>
        <v/>
      </c>
      <c r="G120" s="32" t="str">
        <f aca="false">IF($K120="","",IF(INDEX('All Devices (Master)'!$I:$I,$K120)=0,"",INDEX('All Devices (Master)'!$I:$I,$K120)))</f>
        <v/>
      </c>
      <c r="H120" s="32" t="str">
        <f aca="false">IF($K120="","",IF(INDEX('All Devices (Master)'!$J:$J,$K120)=0,"",INDEX('All Devices (Master)'!$J:$J,$K120)))</f>
        <v/>
      </c>
      <c r="I120" s="32" t="str">
        <f aca="false">IF($K120="","",INDEX('All Devices (Master)'!$V:$V,$K120))</f>
        <v/>
      </c>
      <c r="K120" s="1" t="str">
        <f aca="false">IFERROR(MATCH("W-"&amp;118,'All Devices (Master)'!$U:$U,0),"")</f>
        <v/>
      </c>
    </row>
    <row r="121" customFormat="false" ht="15" hidden="false" customHeight="true" outlineLevel="0" collapsed="false">
      <c r="A121" s="39" t="str">
        <f aca="false">IF($K121="","",119)</f>
        <v/>
      </c>
      <c r="B121" s="26" t="str">
        <f aca="false">IF($K121="","",INDEX('All Devices (Master)'!$D:$D,$K121))</f>
        <v/>
      </c>
      <c r="C121" s="26" t="str">
        <f aca="false">IF($K121="","",INDEX('All Devices (Master)'!$E:$E,$K121))</f>
        <v/>
      </c>
      <c r="D121" s="26" t="str">
        <f aca="false">IF($K121="","",INDEX('All Devices (Master)'!$F:$F,$K121))</f>
        <v/>
      </c>
      <c r="E121" s="26" t="str">
        <f aca="false">IF($K121="","",INDEX('All Devices (Master)'!$G:$G,$K121))</f>
        <v/>
      </c>
      <c r="F121" s="26" t="str">
        <f aca="false">IF($K121="","",IF(INDEX('All Devices (Master)'!$H:$H,$K121)=0,"",INDEX('All Devices (Master)'!$H:$H,$K121)))</f>
        <v/>
      </c>
      <c r="G121" s="26" t="str">
        <f aca="false">IF($K121="","",IF(INDEX('All Devices (Master)'!$I:$I,$K121)=0,"",INDEX('All Devices (Master)'!$I:$I,$K121)))</f>
        <v/>
      </c>
      <c r="H121" s="26" t="str">
        <f aca="false">IF($K121="","",IF(INDEX('All Devices (Master)'!$J:$J,$K121)=0,"",INDEX('All Devices (Master)'!$J:$J,$K121)))</f>
        <v/>
      </c>
      <c r="I121" s="26" t="str">
        <f aca="false">IF($K121="","",INDEX('All Devices (Master)'!$V:$V,$K121))</f>
        <v/>
      </c>
      <c r="K121" s="1" t="str">
        <f aca="false">IFERROR(MATCH("W-"&amp;119,'All Devices (Master)'!$U:$U,0),"")</f>
        <v/>
      </c>
    </row>
    <row r="122" customFormat="false" ht="15" hidden="false" customHeight="true" outlineLevel="0" collapsed="false">
      <c r="A122" s="40" t="str">
        <f aca="false">IF($K122="","",120)</f>
        <v/>
      </c>
      <c r="B122" s="32" t="str">
        <f aca="false">IF($K122="","",INDEX('All Devices (Master)'!$D:$D,$K122))</f>
        <v/>
      </c>
      <c r="C122" s="32" t="str">
        <f aca="false">IF($K122="","",INDEX('All Devices (Master)'!$E:$E,$K122))</f>
        <v/>
      </c>
      <c r="D122" s="32" t="str">
        <f aca="false">IF($K122="","",INDEX('All Devices (Master)'!$F:$F,$K122))</f>
        <v/>
      </c>
      <c r="E122" s="32" t="str">
        <f aca="false">IF($K122="","",INDEX('All Devices (Master)'!$G:$G,$K122))</f>
        <v/>
      </c>
      <c r="F122" s="32" t="str">
        <f aca="false">IF($K122="","",IF(INDEX('All Devices (Master)'!$H:$H,$K122)=0,"",INDEX('All Devices (Master)'!$H:$H,$K122)))</f>
        <v/>
      </c>
      <c r="G122" s="32" t="str">
        <f aca="false">IF($K122="","",IF(INDEX('All Devices (Master)'!$I:$I,$K122)=0,"",INDEX('All Devices (Master)'!$I:$I,$K122)))</f>
        <v/>
      </c>
      <c r="H122" s="32" t="str">
        <f aca="false">IF($K122="","",IF(INDEX('All Devices (Master)'!$J:$J,$K122)=0,"",INDEX('All Devices (Master)'!$J:$J,$K122)))</f>
        <v/>
      </c>
      <c r="I122" s="32" t="str">
        <f aca="false">IF($K122="","",INDEX('All Devices (Master)'!$V:$V,$K122))</f>
        <v/>
      </c>
      <c r="K122" s="1" t="str">
        <f aca="false">IFERROR(MATCH("W-"&amp;120,'All Devices (Master)'!$U:$U,0),"")</f>
        <v/>
      </c>
    </row>
    <row r="123" customFormat="false" ht="15" hidden="false" customHeight="true" outlineLevel="0" collapsed="false">
      <c r="A123" s="39" t="str">
        <f aca="false">IF($K123="","",121)</f>
        <v/>
      </c>
      <c r="B123" s="26" t="str">
        <f aca="false">IF($K123="","",INDEX('All Devices (Master)'!$D:$D,$K123))</f>
        <v/>
      </c>
      <c r="C123" s="26" t="str">
        <f aca="false">IF($K123="","",INDEX('All Devices (Master)'!$E:$E,$K123))</f>
        <v/>
      </c>
      <c r="D123" s="26" t="str">
        <f aca="false">IF($K123="","",INDEX('All Devices (Master)'!$F:$F,$K123))</f>
        <v/>
      </c>
      <c r="E123" s="26" t="str">
        <f aca="false">IF($K123="","",INDEX('All Devices (Master)'!$G:$G,$K123))</f>
        <v/>
      </c>
      <c r="F123" s="26" t="str">
        <f aca="false">IF($K123="","",IF(INDEX('All Devices (Master)'!$H:$H,$K123)=0,"",INDEX('All Devices (Master)'!$H:$H,$K123)))</f>
        <v/>
      </c>
      <c r="G123" s="26" t="str">
        <f aca="false">IF($K123="","",IF(INDEX('All Devices (Master)'!$I:$I,$K123)=0,"",INDEX('All Devices (Master)'!$I:$I,$K123)))</f>
        <v/>
      </c>
      <c r="H123" s="26" t="str">
        <f aca="false">IF($K123="","",IF(INDEX('All Devices (Master)'!$J:$J,$K123)=0,"",INDEX('All Devices (Master)'!$J:$J,$K123)))</f>
        <v/>
      </c>
      <c r="I123" s="26" t="str">
        <f aca="false">IF($K123="","",INDEX('All Devices (Master)'!$V:$V,$K123))</f>
        <v/>
      </c>
      <c r="K123" s="1" t="str">
        <f aca="false">IFERROR(MATCH("W-"&amp;121,'All Devices (Master)'!$U:$U,0),"")</f>
        <v/>
      </c>
    </row>
    <row r="124" customFormat="false" ht="15" hidden="false" customHeight="true" outlineLevel="0" collapsed="false">
      <c r="A124" s="40" t="str">
        <f aca="false">IF($K124="","",122)</f>
        <v/>
      </c>
      <c r="B124" s="32" t="str">
        <f aca="false">IF($K124="","",INDEX('All Devices (Master)'!$D:$D,$K124))</f>
        <v/>
      </c>
      <c r="C124" s="32" t="str">
        <f aca="false">IF($K124="","",INDEX('All Devices (Master)'!$E:$E,$K124))</f>
        <v/>
      </c>
      <c r="D124" s="32" t="str">
        <f aca="false">IF($K124="","",INDEX('All Devices (Master)'!$F:$F,$K124))</f>
        <v/>
      </c>
      <c r="E124" s="32" t="str">
        <f aca="false">IF($K124="","",INDEX('All Devices (Master)'!$G:$G,$K124))</f>
        <v/>
      </c>
      <c r="F124" s="32" t="str">
        <f aca="false">IF($K124="","",IF(INDEX('All Devices (Master)'!$H:$H,$K124)=0,"",INDEX('All Devices (Master)'!$H:$H,$K124)))</f>
        <v/>
      </c>
      <c r="G124" s="32" t="str">
        <f aca="false">IF($K124="","",IF(INDEX('All Devices (Master)'!$I:$I,$K124)=0,"",INDEX('All Devices (Master)'!$I:$I,$K124)))</f>
        <v/>
      </c>
      <c r="H124" s="32" t="str">
        <f aca="false">IF($K124="","",IF(INDEX('All Devices (Master)'!$J:$J,$K124)=0,"",INDEX('All Devices (Master)'!$J:$J,$K124)))</f>
        <v/>
      </c>
      <c r="I124" s="32" t="str">
        <f aca="false">IF($K124="","",INDEX('All Devices (Master)'!$V:$V,$K124))</f>
        <v/>
      </c>
      <c r="K124" s="1" t="str">
        <f aca="false">IFERROR(MATCH("W-"&amp;122,'All Devices (Master)'!$U:$U,0),"")</f>
        <v/>
      </c>
    </row>
    <row r="125" customFormat="false" ht="15" hidden="false" customHeight="true" outlineLevel="0" collapsed="false">
      <c r="A125" s="39" t="str">
        <f aca="false">IF($K125="","",123)</f>
        <v/>
      </c>
      <c r="B125" s="26" t="str">
        <f aca="false">IF($K125="","",INDEX('All Devices (Master)'!$D:$D,$K125))</f>
        <v/>
      </c>
      <c r="C125" s="26" t="str">
        <f aca="false">IF($K125="","",INDEX('All Devices (Master)'!$E:$E,$K125))</f>
        <v/>
      </c>
      <c r="D125" s="26" t="str">
        <f aca="false">IF($K125="","",INDEX('All Devices (Master)'!$F:$F,$K125))</f>
        <v/>
      </c>
      <c r="E125" s="26" t="str">
        <f aca="false">IF($K125="","",INDEX('All Devices (Master)'!$G:$G,$K125))</f>
        <v/>
      </c>
      <c r="F125" s="26" t="str">
        <f aca="false">IF($K125="","",IF(INDEX('All Devices (Master)'!$H:$H,$K125)=0,"",INDEX('All Devices (Master)'!$H:$H,$K125)))</f>
        <v/>
      </c>
      <c r="G125" s="26" t="str">
        <f aca="false">IF($K125="","",IF(INDEX('All Devices (Master)'!$I:$I,$K125)=0,"",INDEX('All Devices (Master)'!$I:$I,$K125)))</f>
        <v/>
      </c>
      <c r="H125" s="26" t="str">
        <f aca="false">IF($K125="","",IF(INDEX('All Devices (Master)'!$J:$J,$K125)=0,"",INDEX('All Devices (Master)'!$J:$J,$K125)))</f>
        <v/>
      </c>
      <c r="I125" s="26" t="str">
        <f aca="false">IF($K125="","",INDEX('All Devices (Master)'!$V:$V,$K125))</f>
        <v/>
      </c>
      <c r="K125" s="1" t="str">
        <f aca="false">IFERROR(MATCH("W-"&amp;123,'All Devices (Master)'!$U:$U,0),"")</f>
        <v/>
      </c>
    </row>
    <row r="126" customFormat="false" ht="15" hidden="false" customHeight="true" outlineLevel="0" collapsed="false">
      <c r="A126" s="40" t="str">
        <f aca="false">IF($K126="","",124)</f>
        <v/>
      </c>
      <c r="B126" s="32" t="str">
        <f aca="false">IF($K126="","",INDEX('All Devices (Master)'!$D:$D,$K126))</f>
        <v/>
      </c>
      <c r="C126" s="32" t="str">
        <f aca="false">IF($K126="","",INDEX('All Devices (Master)'!$E:$E,$K126))</f>
        <v/>
      </c>
      <c r="D126" s="32" t="str">
        <f aca="false">IF($K126="","",INDEX('All Devices (Master)'!$F:$F,$K126))</f>
        <v/>
      </c>
      <c r="E126" s="32" t="str">
        <f aca="false">IF($K126="","",INDEX('All Devices (Master)'!$G:$G,$K126))</f>
        <v/>
      </c>
      <c r="F126" s="32" t="str">
        <f aca="false">IF($K126="","",IF(INDEX('All Devices (Master)'!$H:$H,$K126)=0,"",INDEX('All Devices (Master)'!$H:$H,$K126)))</f>
        <v/>
      </c>
      <c r="G126" s="32" t="str">
        <f aca="false">IF($K126="","",IF(INDEX('All Devices (Master)'!$I:$I,$K126)=0,"",INDEX('All Devices (Master)'!$I:$I,$K126)))</f>
        <v/>
      </c>
      <c r="H126" s="32" t="str">
        <f aca="false">IF($K126="","",IF(INDEX('All Devices (Master)'!$J:$J,$K126)=0,"",INDEX('All Devices (Master)'!$J:$J,$K126)))</f>
        <v/>
      </c>
      <c r="I126" s="32" t="str">
        <f aca="false">IF($K126="","",INDEX('All Devices (Master)'!$V:$V,$K126))</f>
        <v/>
      </c>
      <c r="K126" s="1" t="str">
        <f aca="false">IFERROR(MATCH("W-"&amp;124,'All Devices (Master)'!$U:$U,0),"")</f>
        <v/>
      </c>
    </row>
    <row r="127" customFormat="false" ht="15" hidden="false" customHeight="true" outlineLevel="0" collapsed="false">
      <c r="A127" s="39" t="str">
        <f aca="false">IF($K127="","",125)</f>
        <v/>
      </c>
      <c r="B127" s="26" t="str">
        <f aca="false">IF($K127="","",INDEX('All Devices (Master)'!$D:$D,$K127))</f>
        <v/>
      </c>
      <c r="C127" s="26" t="str">
        <f aca="false">IF($K127="","",INDEX('All Devices (Master)'!$E:$E,$K127))</f>
        <v/>
      </c>
      <c r="D127" s="26" t="str">
        <f aca="false">IF($K127="","",INDEX('All Devices (Master)'!$F:$F,$K127))</f>
        <v/>
      </c>
      <c r="E127" s="26" t="str">
        <f aca="false">IF($K127="","",INDEX('All Devices (Master)'!$G:$G,$K127))</f>
        <v/>
      </c>
      <c r="F127" s="26" t="str">
        <f aca="false">IF($K127="","",IF(INDEX('All Devices (Master)'!$H:$H,$K127)=0,"",INDEX('All Devices (Master)'!$H:$H,$K127)))</f>
        <v/>
      </c>
      <c r="G127" s="26" t="str">
        <f aca="false">IF($K127="","",IF(INDEX('All Devices (Master)'!$I:$I,$K127)=0,"",INDEX('All Devices (Master)'!$I:$I,$K127)))</f>
        <v/>
      </c>
      <c r="H127" s="26" t="str">
        <f aca="false">IF($K127="","",IF(INDEX('All Devices (Master)'!$J:$J,$K127)=0,"",INDEX('All Devices (Master)'!$J:$J,$K127)))</f>
        <v/>
      </c>
      <c r="I127" s="26" t="str">
        <f aca="false">IF($K127="","",INDEX('All Devices (Master)'!$V:$V,$K127))</f>
        <v/>
      </c>
      <c r="K127" s="1" t="str">
        <f aca="false">IFERROR(MATCH("W-"&amp;125,'All Devices (Master)'!$U:$U,0),"")</f>
        <v/>
      </c>
    </row>
    <row r="128" customFormat="false" ht="15" hidden="false" customHeight="true" outlineLevel="0" collapsed="false">
      <c r="A128" s="40" t="str">
        <f aca="false">IF($K128="","",126)</f>
        <v/>
      </c>
      <c r="B128" s="32" t="str">
        <f aca="false">IF($K128="","",INDEX('All Devices (Master)'!$D:$D,$K128))</f>
        <v/>
      </c>
      <c r="C128" s="32" t="str">
        <f aca="false">IF($K128="","",INDEX('All Devices (Master)'!$E:$E,$K128))</f>
        <v/>
      </c>
      <c r="D128" s="32" t="str">
        <f aca="false">IF($K128="","",INDEX('All Devices (Master)'!$F:$F,$K128))</f>
        <v/>
      </c>
      <c r="E128" s="32" t="str">
        <f aca="false">IF($K128="","",INDEX('All Devices (Master)'!$G:$G,$K128))</f>
        <v/>
      </c>
      <c r="F128" s="32" t="str">
        <f aca="false">IF($K128="","",IF(INDEX('All Devices (Master)'!$H:$H,$K128)=0,"",INDEX('All Devices (Master)'!$H:$H,$K128)))</f>
        <v/>
      </c>
      <c r="G128" s="32" t="str">
        <f aca="false">IF($K128="","",IF(INDEX('All Devices (Master)'!$I:$I,$K128)=0,"",INDEX('All Devices (Master)'!$I:$I,$K128)))</f>
        <v/>
      </c>
      <c r="H128" s="32" t="str">
        <f aca="false">IF($K128="","",IF(INDEX('All Devices (Master)'!$J:$J,$K128)=0,"",INDEX('All Devices (Master)'!$J:$J,$K128)))</f>
        <v/>
      </c>
      <c r="I128" s="32" t="str">
        <f aca="false">IF($K128="","",INDEX('All Devices (Master)'!$V:$V,$K128))</f>
        <v/>
      </c>
      <c r="K128" s="1" t="str">
        <f aca="false">IFERROR(MATCH("W-"&amp;126,'All Devices (Master)'!$U:$U,0),"")</f>
        <v/>
      </c>
    </row>
    <row r="129" customFormat="false" ht="15" hidden="false" customHeight="true" outlineLevel="0" collapsed="false">
      <c r="A129" s="39" t="str">
        <f aca="false">IF($K129="","",127)</f>
        <v/>
      </c>
      <c r="B129" s="26" t="str">
        <f aca="false">IF($K129="","",INDEX('All Devices (Master)'!$D:$D,$K129))</f>
        <v/>
      </c>
      <c r="C129" s="26" t="str">
        <f aca="false">IF($K129="","",INDEX('All Devices (Master)'!$E:$E,$K129))</f>
        <v/>
      </c>
      <c r="D129" s="26" t="str">
        <f aca="false">IF($K129="","",INDEX('All Devices (Master)'!$F:$F,$K129))</f>
        <v/>
      </c>
      <c r="E129" s="26" t="str">
        <f aca="false">IF($K129="","",INDEX('All Devices (Master)'!$G:$G,$K129))</f>
        <v/>
      </c>
      <c r="F129" s="26" t="str">
        <f aca="false">IF($K129="","",IF(INDEX('All Devices (Master)'!$H:$H,$K129)=0,"",INDEX('All Devices (Master)'!$H:$H,$K129)))</f>
        <v/>
      </c>
      <c r="G129" s="26" t="str">
        <f aca="false">IF($K129="","",IF(INDEX('All Devices (Master)'!$I:$I,$K129)=0,"",INDEX('All Devices (Master)'!$I:$I,$K129)))</f>
        <v/>
      </c>
      <c r="H129" s="26" t="str">
        <f aca="false">IF($K129="","",IF(INDEX('All Devices (Master)'!$J:$J,$K129)=0,"",INDEX('All Devices (Master)'!$J:$J,$K129)))</f>
        <v/>
      </c>
      <c r="I129" s="26" t="str">
        <f aca="false">IF($K129="","",INDEX('All Devices (Master)'!$V:$V,$K129))</f>
        <v/>
      </c>
      <c r="K129" s="1" t="str">
        <f aca="false">IFERROR(MATCH("W-"&amp;127,'All Devices (Master)'!$U:$U,0),"")</f>
        <v/>
      </c>
    </row>
    <row r="130" customFormat="false" ht="15" hidden="false" customHeight="true" outlineLevel="0" collapsed="false">
      <c r="A130" s="40" t="str">
        <f aca="false">IF($K130="","",128)</f>
        <v/>
      </c>
      <c r="B130" s="32" t="str">
        <f aca="false">IF($K130="","",INDEX('All Devices (Master)'!$D:$D,$K130))</f>
        <v/>
      </c>
      <c r="C130" s="32" t="str">
        <f aca="false">IF($K130="","",INDEX('All Devices (Master)'!$E:$E,$K130))</f>
        <v/>
      </c>
      <c r="D130" s="32" t="str">
        <f aca="false">IF($K130="","",INDEX('All Devices (Master)'!$F:$F,$K130))</f>
        <v/>
      </c>
      <c r="E130" s="32" t="str">
        <f aca="false">IF($K130="","",INDEX('All Devices (Master)'!$G:$G,$K130))</f>
        <v/>
      </c>
      <c r="F130" s="32" t="str">
        <f aca="false">IF($K130="","",IF(INDEX('All Devices (Master)'!$H:$H,$K130)=0,"",INDEX('All Devices (Master)'!$H:$H,$K130)))</f>
        <v/>
      </c>
      <c r="G130" s="32" t="str">
        <f aca="false">IF($K130="","",IF(INDEX('All Devices (Master)'!$I:$I,$K130)=0,"",INDEX('All Devices (Master)'!$I:$I,$K130)))</f>
        <v/>
      </c>
      <c r="H130" s="32" t="str">
        <f aca="false">IF($K130="","",IF(INDEX('All Devices (Master)'!$J:$J,$K130)=0,"",INDEX('All Devices (Master)'!$J:$J,$K130)))</f>
        <v/>
      </c>
      <c r="I130" s="32" t="str">
        <f aca="false">IF($K130="","",INDEX('All Devices (Master)'!$V:$V,$K130))</f>
        <v/>
      </c>
      <c r="K130" s="1" t="str">
        <f aca="false">IFERROR(MATCH("W-"&amp;128,'All Devices (Master)'!$U:$U,0),"")</f>
        <v/>
      </c>
    </row>
    <row r="131" customFormat="false" ht="15" hidden="false" customHeight="true" outlineLevel="0" collapsed="false">
      <c r="A131" s="39" t="str">
        <f aca="false">IF($K131="","",129)</f>
        <v/>
      </c>
      <c r="B131" s="26" t="str">
        <f aca="false">IF($K131="","",INDEX('All Devices (Master)'!$D:$D,$K131))</f>
        <v/>
      </c>
      <c r="C131" s="26" t="str">
        <f aca="false">IF($K131="","",INDEX('All Devices (Master)'!$E:$E,$K131))</f>
        <v/>
      </c>
      <c r="D131" s="26" t="str">
        <f aca="false">IF($K131="","",INDEX('All Devices (Master)'!$F:$F,$K131))</f>
        <v/>
      </c>
      <c r="E131" s="26" t="str">
        <f aca="false">IF($K131="","",INDEX('All Devices (Master)'!$G:$G,$K131))</f>
        <v/>
      </c>
      <c r="F131" s="26" t="str">
        <f aca="false">IF($K131="","",IF(INDEX('All Devices (Master)'!$H:$H,$K131)=0,"",INDEX('All Devices (Master)'!$H:$H,$K131)))</f>
        <v/>
      </c>
      <c r="G131" s="26" t="str">
        <f aca="false">IF($K131="","",IF(INDEX('All Devices (Master)'!$I:$I,$K131)=0,"",INDEX('All Devices (Master)'!$I:$I,$K131)))</f>
        <v/>
      </c>
      <c r="H131" s="26" t="str">
        <f aca="false">IF($K131="","",IF(INDEX('All Devices (Master)'!$J:$J,$K131)=0,"",INDEX('All Devices (Master)'!$J:$J,$K131)))</f>
        <v/>
      </c>
      <c r="I131" s="26" t="str">
        <f aca="false">IF($K131="","",INDEX('All Devices (Master)'!$V:$V,$K131))</f>
        <v/>
      </c>
      <c r="K131" s="1" t="str">
        <f aca="false">IFERROR(MATCH("W-"&amp;129,'All Devices (Master)'!$U:$U,0),"")</f>
        <v/>
      </c>
    </row>
    <row r="132" customFormat="false" ht="15" hidden="false" customHeight="true" outlineLevel="0" collapsed="false">
      <c r="A132" s="40" t="str">
        <f aca="false">IF($K132="","",130)</f>
        <v/>
      </c>
      <c r="B132" s="32" t="str">
        <f aca="false">IF($K132="","",INDEX('All Devices (Master)'!$D:$D,$K132))</f>
        <v/>
      </c>
      <c r="C132" s="32" t="str">
        <f aca="false">IF($K132="","",INDEX('All Devices (Master)'!$E:$E,$K132))</f>
        <v/>
      </c>
      <c r="D132" s="32" t="str">
        <f aca="false">IF($K132="","",INDEX('All Devices (Master)'!$F:$F,$K132))</f>
        <v/>
      </c>
      <c r="E132" s="32" t="str">
        <f aca="false">IF($K132="","",INDEX('All Devices (Master)'!$G:$G,$K132))</f>
        <v/>
      </c>
      <c r="F132" s="32" t="str">
        <f aca="false">IF($K132="","",IF(INDEX('All Devices (Master)'!$H:$H,$K132)=0,"",INDEX('All Devices (Master)'!$H:$H,$K132)))</f>
        <v/>
      </c>
      <c r="G132" s="32" t="str">
        <f aca="false">IF($K132="","",IF(INDEX('All Devices (Master)'!$I:$I,$K132)=0,"",INDEX('All Devices (Master)'!$I:$I,$K132)))</f>
        <v/>
      </c>
      <c r="H132" s="32" t="str">
        <f aca="false">IF($K132="","",IF(INDEX('All Devices (Master)'!$J:$J,$K132)=0,"",INDEX('All Devices (Master)'!$J:$J,$K132)))</f>
        <v/>
      </c>
      <c r="I132" s="32" t="str">
        <f aca="false">IF($K132="","",INDEX('All Devices (Master)'!$V:$V,$K132))</f>
        <v/>
      </c>
      <c r="K132" s="1" t="str">
        <f aca="false">IFERROR(MATCH("W-"&amp;130,'All Devices (Master)'!$U:$U,0),"")</f>
        <v/>
      </c>
    </row>
  </sheetData>
  <autoFilter ref="A2:I132"/>
  <mergeCells count="1">
    <mergeCell ref="A1:I1"/>
  </mergeCells>
  <conditionalFormatting sqref="I3:I132">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1" t="s">
        <v>455</v>
      </c>
      <c r="B1" s="41"/>
      <c r="C1" s="41"/>
      <c r="D1" s="41"/>
      <c r="E1" s="41"/>
      <c r="F1" s="41"/>
      <c r="G1" s="41"/>
      <c r="H1" s="41"/>
      <c r="I1" s="41"/>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Kadawatha CC</v>
      </c>
      <c r="D3" s="26" t="str">
        <f aca="false">IF($K3="","",INDEX('All Devices (Master)'!$F:$F,$K3))</f>
        <v>0NQ9193960105</v>
      </c>
      <c r="E3" s="26" t="str">
        <f aca="false">IF($K3="","",INDEX('All Devices (Master)'!$G:$G,$K3))</f>
        <v>Have to Repair</v>
      </c>
      <c r="F3" s="26" t="str">
        <f aca="false">IF($K3="","",IF(INDEX('All Devices (Master)'!$H:$H,$K3)=0,"",INDEX('All Devices (Master)'!$H:$H,$K3)))</f>
        <v>Display Error</v>
      </c>
      <c r="G3" s="26" t="str">
        <f aca="false">IF($K3="","",IF(INDEX('All Devices (Master)'!$I:$I,$K3)=0,"",INDEX('All Devices (Master)'!$I:$I,$K3)))</f>
        <v/>
      </c>
      <c r="H3" s="26" t="str">
        <f aca="false">IF($K3="","",IF(INDEX('All Devices (Master)'!$J:$J,$K3)=0,"",INDEX('All Devices (Master)'!$J:$J,$K3)))</f>
        <v>Colour</v>
      </c>
      <c r="I3" s="26" t="str">
        <f aca="false">IF($K3="","",INDEX('All Devices (Master)'!$V:$V,$K3))</f>
        <v/>
      </c>
      <c r="K3" s="1" t="n">
        <f aca="false">IFERROR(MATCH("D1-"&amp;1,'All Devices (Master)'!$U:$U,0),"")</f>
        <v>9</v>
      </c>
    </row>
    <row r="4" customFormat="false" ht="15" hidden="false" customHeight="true" outlineLevel="0" collapsed="false">
      <c r="A4" s="40" t="n">
        <f aca="false">IF($K4="","",2)</f>
        <v>2</v>
      </c>
      <c r="B4" s="32" t="str">
        <f aca="false">IF($K4="","",INDEX('All Devices (Master)'!$D:$D,$K4))</f>
        <v>X628</v>
      </c>
      <c r="C4" s="32" t="str">
        <f aca="false">IF($K4="","",INDEX('All Devices (Master)'!$E:$E,$K4))</f>
        <v>Andiambalama</v>
      </c>
      <c r="D4" s="32" t="str">
        <f aca="false">IF($K4="","",INDEX('All Devices (Master)'!$F:$F,$K4))</f>
        <v>0065653040014</v>
      </c>
      <c r="E4" s="32" t="str">
        <f aca="false">IF($K4="","",INDEX('All Devices (Master)'!$G:$G,$K4))</f>
        <v>Working</v>
      </c>
      <c r="F4" s="32" t="str">
        <f aca="false">IF($K4="","",IF(INDEX('All Devices (Master)'!$H:$H,$K4)=0,"",INDEX('All Devices (Master)'!$H:$H,$K4)))</f>
        <v/>
      </c>
      <c r="G4" s="32" t="str">
        <f aca="false">IF($K4="","",IF(INDEX('All Devices (Master)'!$I:$I,$K4)=0,"",INDEX('All Devices (Master)'!$I:$I,$K4)))</f>
        <v>Display is not clear</v>
      </c>
      <c r="H4" s="32" t="str">
        <f aca="false">IF($K4="","",IF(INDEX('All Devices (Master)'!$J:$J,$K4)=0,"",INDEX('All Devices (Master)'!$J:$J,$K4)))</f>
        <v>Black &amp; White</v>
      </c>
      <c r="I4" s="32" t="str">
        <f aca="false">IF($K4="","",INDEX('All Devices (Master)'!$V:$V,$K4))</f>
        <v/>
      </c>
      <c r="K4" s="1" t="n">
        <f aca="false">IFERROR(MATCH("D1-"&amp;2,'All Devices (Master)'!$U:$U,0),"")</f>
        <v>16</v>
      </c>
    </row>
    <row r="5" customFormat="false" ht="15" hidden="false" customHeight="true" outlineLevel="0" collapsed="false">
      <c r="A5" s="39" t="n">
        <f aca="false">IF($K5="","",3)</f>
        <v>3</v>
      </c>
      <c r="B5" s="26" t="str">
        <f aca="false">IF($K5="","",INDEX('All Devices (Master)'!$D:$D,$K5))</f>
        <v>X628</v>
      </c>
      <c r="C5" s="26" t="str">
        <f aca="false">IF($K5="","",INDEX('All Devices (Master)'!$E:$E,$K5))</f>
        <v>Thalawathugoda</v>
      </c>
      <c r="D5" s="26" t="str">
        <f aca="false">IF($K5="","",INDEX('All Devices (Master)'!$F:$F,$K5))</f>
        <v>6006183600002</v>
      </c>
      <c r="E5" s="26" t="str">
        <f aca="false">IF($K5="","",INDEX('All Devices (Master)'!$G:$G,$K5))</f>
        <v>Working</v>
      </c>
      <c r="F5" s="26" t="str">
        <f aca="false">IF($K5="","",IF(INDEX('All Devices (Master)'!$H:$H,$K5)=0,"",INDEX('All Devices (Master)'!$H:$H,$K5)))</f>
        <v/>
      </c>
      <c r="G5" s="26" t="str">
        <f aca="false">IF($K5="","",IF(INDEX('All Devices (Master)'!$I:$I,$K5)=0,"",INDEX('All Devices (Master)'!$I:$I,$K5)))</f>
        <v>Display is not clear</v>
      </c>
      <c r="H5" s="26" t="str">
        <f aca="false">IF($K5="","",IF(INDEX('All Devices (Master)'!$J:$J,$K5)=0,"",INDEX('All Devices (Master)'!$J:$J,$K5)))</f>
        <v>Black &amp; White</v>
      </c>
      <c r="I5" s="26" t="str">
        <f aca="false">IF($K5="","",INDEX('All Devices (Master)'!$V:$V,$K5))</f>
        <v/>
      </c>
      <c r="K5" s="1" t="n">
        <f aca="false">IFERROR(MATCH("D1-"&amp;3,'All Devices (Master)'!$U:$U,0),"")</f>
        <v>20</v>
      </c>
    </row>
    <row r="6" customFormat="false" ht="15" hidden="false" customHeight="true" outlineLevel="0" collapsed="false">
      <c r="A6" s="40" t="n">
        <f aca="false">IF($K6="","",4)</f>
        <v>4</v>
      </c>
      <c r="B6" s="32" t="str">
        <f aca="false">IF($K6="","",INDEX('All Devices (Master)'!$D:$D,$K6))</f>
        <v>X628</v>
      </c>
      <c r="C6" s="32" t="str">
        <f aca="false">IF($K6="","",INDEX('All Devices (Master)'!$E:$E,$K6))</f>
        <v>Kochchikade</v>
      </c>
      <c r="D6" s="32" t="str">
        <f aca="false">IF($K6="","",INDEX('All Devices (Master)'!$F:$F,$K6))</f>
        <v>A5RN174660005</v>
      </c>
      <c r="E6" s="32" t="str">
        <f aca="false">IF($K6="","",INDEX('All Devices (Master)'!$G:$G,$K6))</f>
        <v>Working</v>
      </c>
      <c r="F6" s="32" t="str">
        <f aca="false">IF($K6="","",IF(INDEX('All Devices (Master)'!$H:$H,$K6)=0,"",INDEX('All Devices (Master)'!$H:$H,$K6)))</f>
        <v/>
      </c>
      <c r="G6" s="32" t="str">
        <f aca="false">IF($K6="","",IF(INDEX('All Devices (Master)'!$I:$I,$K6)=0,"",INDEX('All Devices (Master)'!$I:$I,$K6)))</f>
        <v>Display is not clear </v>
      </c>
      <c r="H6" s="32" t="str">
        <f aca="false">IF($K6="","",IF(INDEX('All Devices (Master)'!$J:$J,$K6)=0,"",INDEX('All Devices (Master)'!$J:$J,$K6)))</f>
        <v>Black &amp; White</v>
      </c>
      <c r="I6" s="32" t="str">
        <f aca="false">IF($K6="","",INDEX('All Devices (Master)'!$V:$V,$K6))</f>
        <v/>
      </c>
      <c r="K6" s="1" t="n">
        <f aca="false">IFERROR(MATCH("D1-"&amp;4,'All Devices (Master)'!$U:$U,0),"")</f>
        <v>43</v>
      </c>
    </row>
    <row r="7" customFormat="false" ht="15" hidden="false" customHeight="true" outlineLevel="0" collapsed="false">
      <c r="A7" s="39" t="n">
        <f aca="false">IF($K7="","",5)</f>
        <v>5</v>
      </c>
      <c r="B7" s="26" t="str">
        <f aca="false">IF($K7="","",INDEX('All Devices (Master)'!$D:$D,$K7))</f>
        <v>X628</v>
      </c>
      <c r="C7" s="26" t="str">
        <f aca="false">IF($K7="","",INDEX('All Devices (Master)'!$E:$E,$K7))</f>
        <v>Wijerama</v>
      </c>
      <c r="D7" s="26" t="str">
        <f aca="false">IF($K7="","",INDEX('All Devices (Master)'!$F:$F,$K7))</f>
        <v>0065653040007</v>
      </c>
      <c r="E7" s="26" t="str">
        <f aca="false">IF($K7="","",INDEX('All Devices (Master)'!$G:$G,$K7))</f>
        <v>Working</v>
      </c>
      <c r="F7" s="26" t="str">
        <f aca="false">IF($K7="","",IF(INDEX('All Devices (Master)'!$H:$H,$K7)=0,"",INDEX('All Devices (Master)'!$H:$H,$K7)))</f>
        <v/>
      </c>
      <c r="G7" s="26" t="str">
        <f aca="false">IF($K7="","",IF(INDEX('All Devices (Master)'!$I:$I,$K7)=0,"",INDEX('All Devices (Master)'!$I:$I,$K7)))</f>
        <v>Display is not clear</v>
      </c>
      <c r="H7" s="26" t="str">
        <f aca="false">IF($K7="","",IF(INDEX('All Devices (Master)'!$J:$J,$K7)=0,"",INDEX('All Devices (Master)'!$J:$J,$K7)))</f>
        <v>Black &amp; White</v>
      </c>
      <c r="I7" s="26" t="str">
        <f aca="false">IF($K7="","",INDEX('All Devices (Master)'!$V:$V,$K7))</f>
        <v/>
      </c>
      <c r="K7" s="1" t="n">
        <f aca="false">IFERROR(MATCH("D1-"&amp;5,'All Devices (Master)'!$U:$U,0),"")</f>
        <v>45</v>
      </c>
    </row>
    <row r="8" customFormat="false" ht="15" hidden="false" customHeight="true" outlineLevel="0" collapsed="false">
      <c r="A8" s="40" t="n">
        <f aca="false">IF($K8="","",6)</f>
        <v>6</v>
      </c>
      <c r="B8" s="32" t="str">
        <f aca="false">IF($K8="","",INDEX('All Devices (Master)'!$D:$D,$K8))</f>
        <v>X628</v>
      </c>
      <c r="C8" s="32" t="str">
        <f aca="false">IF($K8="","",INDEX('All Devices (Master)'!$E:$E,$K8))</f>
        <v>Kotahena</v>
      </c>
      <c r="D8" s="32" t="str">
        <f aca="false">IF($K8="","",INDEX('All Devices (Master)'!$F:$F,$K8))</f>
        <v>0065172410002</v>
      </c>
      <c r="E8" s="32" t="str">
        <f aca="false">IF($K8="","",INDEX('All Devices (Master)'!$G:$G,$K8))</f>
        <v>Working</v>
      </c>
      <c r="F8" s="32" t="str">
        <f aca="false">IF($K8="","",IF(INDEX('All Devices (Master)'!$H:$H,$K8)=0,"",INDEX('All Devices (Master)'!$H:$H,$K8)))</f>
        <v/>
      </c>
      <c r="G8" s="32" t="str">
        <f aca="false">IF($K8="","",IF(INDEX('All Devices (Master)'!$I:$I,$K8)=0,"",INDEX('All Devices (Master)'!$I:$I,$K8)))</f>
        <v>Display is not clear, Speaker is not working</v>
      </c>
      <c r="H8" s="32" t="str">
        <f aca="false">IF($K8="","",IF(INDEX('All Devices (Master)'!$J:$J,$K8)=0,"",INDEX('All Devices (Master)'!$J:$J,$K8)))</f>
        <v>Black &amp; White</v>
      </c>
      <c r="I8" s="32" t="str">
        <f aca="false">IF($K8="","",INDEX('All Devices (Master)'!$V:$V,$K8))</f>
        <v>Multiple fault types detected - review full details before repair</v>
      </c>
      <c r="K8" s="1" t="n">
        <f aca="false">IFERROR(MATCH("D1-"&amp;6,'All Devices (Master)'!$U:$U,0),"")</f>
        <v>52</v>
      </c>
    </row>
    <row r="9" customFormat="false" ht="15" hidden="false" customHeight="true" outlineLevel="0" collapsed="false">
      <c r="A9" s="39" t="n">
        <f aca="false">IF($K9="","",7)</f>
        <v>7</v>
      </c>
      <c r="B9" s="26" t="str">
        <f aca="false">IF($K9="","",INDEX('All Devices (Master)'!$D:$D,$K9))</f>
        <v>X628</v>
      </c>
      <c r="C9" s="26" t="str">
        <f aca="false">IF($K9="","",INDEX('All Devices (Master)'!$E:$E,$K9))</f>
        <v>Ragama</v>
      </c>
      <c r="D9" s="26" t="str">
        <f aca="false">IF($K9="","",INDEX('All Devices (Master)'!$F:$F,$K9))</f>
        <v>0065653040015</v>
      </c>
      <c r="E9" s="26" t="str">
        <f aca="false">IF($K9="","",INDEX('All Devices (Master)'!$G:$G,$K9))</f>
        <v>Working</v>
      </c>
      <c r="F9" s="26" t="str">
        <f aca="false">IF($K9="","",IF(INDEX('All Devices (Master)'!$H:$H,$K9)=0,"",INDEX('All Devices (Master)'!$H:$H,$K9)))</f>
        <v/>
      </c>
      <c r="G9" s="26" t="str">
        <f aca="false">IF($K9="","",IF(INDEX('All Devices (Master)'!$I:$I,$K9)=0,"",INDEX('All Devices (Master)'!$I:$I,$K9)))</f>
        <v>Display is not clear</v>
      </c>
      <c r="H9" s="26" t="str">
        <f aca="false">IF($K9="","",IF(INDEX('All Devices (Master)'!$J:$J,$K9)=0,"",INDEX('All Devices (Master)'!$J:$J,$K9)))</f>
        <v>Black &amp; White</v>
      </c>
      <c r="I9" s="26" t="str">
        <f aca="false">IF($K9="","",INDEX('All Devices (Master)'!$V:$V,$K9))</f>
        <v/>
      </c>
      <c r="K9" s="1" t="n">
        <f aca="false">IFERROR(MATCH("D1-"&amp;7,'All Devices (Master)'!$U:$U,0),"")</f>
        <v>66</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IFERROR(MATCH("D1-"&amp;8,'All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IFERROR(MATCH("D1-"&amp;9,'All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IFERROR(MATCH("D1-"&amp;10,'All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IFERROR(MATCH("D1-"&amp;11,'All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IFERROR(MATCH("D1-"&amp;12,'All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IFERROR(MATCH("D1-"&amp;13,'All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IFERROR(MATCH("D1-"&amp;14,'All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IFERROR(MATCH("D1-"&amp;15,'All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IFERROR(MATCH("D1-"&amp;16,'All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IFERROR(MATCH("D1-"&amp;17,'All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IFERROR(MATCH("D1-"&amp;18,'All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IFERROR(MATCH("D1-"&amp;19,'All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IFERROR(MATCH("D1-"&amp;20,'All Devices (Master)'!$U:$U,0),"")</f>
        <v/>
      </c>
    </row>
    <row r="23" customFormat="false" ht="15" hidden="false" customHeight="true" outlineLevel="0" collapsed="false">
      <c r="A23" s="39" t="str">
        <f aca="false">IF($K23="","",21)</f>
        <v/>
      </c>
      <c r="B23" s="26" t="str">
        <f aca="false">IF($K23="","",INDEX('All Devices (Master)'!$D:$D,$K23))</f>
        <v/>
      </c>
      <c r="C23" s="26" t="str">
        <f aca="false">IF($K23="","",INDEX('All Devices (Master)'!$E:$E,$K23))</f>
        <v/>
      </c>
      <c r="D23" s="26" t="str">
        <f aca="false">IF($K23="","",INDEX('All Devices (Master)'!$F:$F,$K23))</f>
        <v/>
      </c>
      <c r="E23" s="26" t="str">
        <f aca="false">IF($K23="","",INDEX('All Devices (Master)'!$G:$G,$K23))</f>
        <v/>
      </c>
      <c r="F23" s="26" t="str">
        <f aca="false">IF($K23="","",IF(INDEX('All Devices (Master)'!$H:$H,$K23)=0,"",INDEX('All Devices (Master)'!$H:$H,$K23)))</f>
        <v/>
      </c>
      <c r="G23" s="26" t="str">
        <f aca="false">IF($K23="","",IF(INDEX('All Devices (Master)'!$I:$I,$K23)=0,"",INDEX('All Devices (Master)'!$I:$I,$K23)))</f>
        <v/>
      </c>
      <c r="H23" s="26" t="str">
        <f aca="false">IF($K23="","",IF(INDEX('All Devices (Master)'!$J:$J,$K23)=0,"",INDEX('All Devices (Master)'!$J:$J,$K23)))</f>
        <v/>
      </c>
      <c r="I23" s="26" t="str">
        <f aca="false">IF($K23="","",INDEX('All Devices (Master)'!$V:$V,$K23))</f>
        <v/>
      </c>
      <c r="K23" s="1" t="str">
        <f aca="false">IFERROR(MATCH("D1-"&amp;21,'All Devices (Master)'!$U:$U,0),"")</f>
        <v/>
      </c>
    </row>
    <row r="24" customFormat="false" ht="15" hidden="false" customHeight="true" outlineLevel="0" collapsed="false">
      <c r="A24" s="40" t="str">
        <f aca="false">IF($K24="","",22)</f>
        <v/>
      </c>
      <c r="B24" s="32" t="str">
        <f aca="false">IF($K24="","",INDEX('All Devices (Master)'!$D:$D,$K24))</f>
        <v/>
      </c>
      <c r="C24" s="32" t="str">
        <f aca="false">IF($K24="","",INDEX('All Devices (Master)'!$E:$E,$K24))</f>
        <v/>
      </c>
      <c r="D24" s="32" t="str">
        <f aca="false">IF($K24="","",INDEX('All Devices (Master)'!$F:$F,$K24))</f>
        <v/>
      </c>
      <c r="E24" s="32" t="str">
        <f aca="false">IF($K24="","",INDEX('All Devices (Master)'!$G:$G,$K24))</f>
        <v/>
      </c>
      <c r="F24" s="32" t="str">
        <f aca="false">IF($K24="","",IF(INDEX('All Devices (Master)'!$H:$H,$K24)=0,"",INDEX('All Devices (Master)'!$H:$H,$K24)))</f>
        <v/>
      </c>
      <c r="G24" s="32" t="str">
        <f aca="false">IF($K24="","",IF(INDEX('All Devices (Master)'!$I:$I,$K24)=0,"",INDEX('All Devices (Master)'!$I:$I,$K24)))</f>
        <v/>
      </c>
      <c r="H24" s="32" t="str">
        <f aca="false">IF($K24="","",IF(INDEX('All Devices (Master)'!$J:$J,$K24)=0,"",INDEX('All Devices (Master)'!$J:$J,$K24)))</f>
        <v/>
      </c>
      <c r="I24" s="32" t="str">
        <f aca="false">IF($K24="","",INDEX('All Devices (Master)'!$V:$V,$K24))</f>
        <v/>
      </c>
      <c r="K24" s="1" t="str">
        <f aca="false">IFERROR(MATCH("D1-"&amp;22,'All Devices (Master)'!$U:$U,0),"")</f>
        <v/>
      </c>
    </row>
    <row r="25" customFormat="false" ht="15" hidden="false" customHeight="true" outlineLevel="0" collapsed="false">
      <c r="A25" s="39" t="str">
        <f aca="false">IF($K25="","",23)</f>
        <v/>
      </c>
      <c r="B25" s="26" t="str">
        <f aca="false">IF($K25="","",INDEX('All Devices (Master)'!$D:$D,$K25))</f>
        <v/>
      </c>
      <c r="C25" s="26" t="str">
        <f aca="false">IF($K25="","",INDEX('All Devices (Master)'!$E:$E,$K25))</f>
        <v/>
      </c>
      <c r="D25" s="26" t="str">
        <f aca="false">IF($K25="","",INDEX('All Devices (Master)'!$F:$F,$K25))</f>
        <v/>
      </c>
      <c r="E25" s="26" t="str">
        <f aca="false">IF($K25="","",INDEX('All Devices (Master)'!$G:$G,$K25))</f>
        <v/>
      </c>
      <c r="F25" s="26" t="str">
        <f aca="false">IF($K25="","",IF(INDEX('All Devices (Master)'!$H:$H,$K25)=0,"",INDEX('All Devices (Master)'!$H:$H,$K25)))</f>
        <v/>
      </c>
      <c r="G25" s="26" t="str">
        <f aca="false">IF($K25="","",IF(INDEX('All Devices (Master)'!$I:$I,$K25)=0,"",INDEX('All Devices (Master)'!$I:$I,$K25)))</f>
        <v/>
      </c>
      <c r="H25" s="26" t="str">
        <f aca="false">IF($K25="","",IF(INDEX('All Devices (Master)'!$J:$J,$K25)=0,"",INDEX('All Devices (Master)'!$J:$J,$K25)))</f>
        <v/>
      </c>
      <c r="I25" s="26" t="str">
        <f aca="false">IF($K25="","",INDEX('All Devices (Master)'!$V:$V,$K25))</f>
        <v/>
      </c>
      <c r="K25" s="1" t="str">
        <f aca="false">IFERROR(MATCH("D1-"&amp;23,'All Devices (Master)'!$U:$U,0),"")</f>
        <v/>
      </c>
    </row>
    <row r="26" customFormat="false" ht="15" hidden="false" customHeight="true" outlineLevel="0" collapsed="false">
      <c r="A26" s="40" t="str">
        <f aca="false">IF($K26="","",24)</f>
        <v/>
      </c>
      <c r="B26" s="32" t="str">
        <f aca="false">IF($K26="","",INDEX('All Devices (Master)'!$D:$D,$K26))</f>
        <v/>
      </c>
      <c r="C26" s="32" t="str">
        <f aca="false">IF($K26="","",INDEX('All Devices (Master)'!$E:$E,$K26))</f>
        <v/>
      </c>
      <c r="D26" s="32" t="str">
        <f aca="false">IF($K26="","",INDEX('All Devices (Master)'!$F:$F,$K26))</f>
        <v/>
      </c>
      <c r="E26" s="32" t="str">
        <f aca="false">IF($K26="","",INDEX('All Devices (Master)'!$G:$G,$K26))</f>
        <v/>
      </c>
      <c r="F26" s="32" t="str">
        <f aca="false">IF($K26="","",IF(INDEX('All Devices (Master)'!$H:$H,$K26)=0,"",INDEX('All Devices (Master)'!$H:$H,$K26)))</f>
        <v/>
      </c>
      <c r="G26" s="32" t="str">
        <f aca="false">IF($K26="","",IF(INDEX('All Devices (Master)'!$I:$I,$K26)=0,"",INDEX('All Devices (Master)'!$I:$I,$K26)))</f>
        <v/>
      </c>
      <c r="H26" s="32" t="str">
        <f aca="false">IF($K26="","",IF(INDEX('All Devices (Master)'!$J:$J,$K26)=0,"",INDEX('All Devices (Master)'!$J:$J,$K26)))</f>
        <v/>
      </c>
      <c r="I26" s="32" t="str">
        <f aca="false">IF($K26="","",INDEX('All Devices (Master)'!$V:$V,$K26))</f>
        <v/>
      </c>
      <c r="K26" s="1" t="str">
        <f aca="false">IFERROR(MATCH("D1-"&amp;24,'All Devices (Master)'!$U:$U,0),"")</f>
        <v/>
      </c>
    </row>
    <row r="27" customFormat="false" ht="15" hidden="false" customHeight="true" outlineLevel="0" collapsed="false">
      <c r="A27" s="39" t="str">
        <f aca="false">IF($K27="","",25)</f>
        <v/>
      </c>
      <c r="B27" s="26" t="str">
        <f aca="false">IF($K27="","",INDEX('All Devices (Master)'!$D:$D,$K27))</f>
        <v/>
      </c>
      <c r="C27" s="26" t="str">
        <f aca="false">IF($K27="","",INDEX('All Devices (Master)'!$E:$E,$K27))</f>
        <v/>
      </c>
      <c r="D27" s="26" t="str">
        <f aca="false">IF($K27="","",INDEX('All Devices (Master)'!$F:$F,$K27))</f>
        <v/>
      </c>
      <c r="E27" s="26" t="str">
        <f aca="false">IF($K27="","",INDEX('All Devices (Master)'!$G:$G,$K27))</f>
        <v/>
      </c>
      <c r="F27" s="26" t="str">
        <f aca="false">IF($K27="","",IF(INDEX('All Devices (Master)'!$H:$H,$K27)=0,"",INDEX('All Devices (Master)'!$H:$H,$K27)))</f>
        <v/>
      </c>
      <c r="G27" s="26" t="str">
        <f aca="false">IF($K27="","",IF(INDEX('All Devices (Master)'!$I:$I,$K27)=0,"",INDEX('All Devices (Master)'!$I:$I,$K27)))</f>
        <v/>
      </c>
      <c r="H27" s="26" t="str">
        <f aca="false">IF($K27="","",IF(INDEX('All Devices (Master)'!$J:$J,$K27)=0,"",INDEX('All Devices (Master)'!$J:$J,$K27)))</f>
        <v/>
      </c>
      <c r="I27" s="26" t="str">
        <f aca="false">IF($K27="","",INDEX('All Devices (Master)'!$V:$V,$K27))</f>
        <v/>
      </c>
      <c r="K27" s="1" t="str">
        <f aca="false">IFERROR(MATCH("D1-"&amp;25,'All Devices (Master)'!$U:$U,0),"")</f>
        <v/>
      </c>
    </row>
  </sheetData>
  <autoFilter ref="A2:I27"/>
  <mergeCells count="1">
    <mergeCell ref="A1:I1"/>
  </mergeCells>
  <conditionalFormatting sqref="I3:I27">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1" t="s">
        <v>456</v>
      </c>
      <c r="B1" s="41"/>
      <c r="C1" s="41"/>
      <c r="D1" s="41"/>
      <c r="E1" s="41"/>
      <c r="F1" s="41"/>
      <c r="G1" s="41"/>
      <c r="H1" s="41"/>
      <c r="I1" s="41"/>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Mathara</v>
      </c>
      <c r="D3" s="26" t="str">
        <f aca="false">IF($K3="","",INDEX('All Devices (Master)'!$F:$F,$K3))</f>
        <v>0065653040004</v>
      </c>
      <c r="E3" s="26" t="str">
        <f aca="false">IF($K3="","",INDEX('All Devices (Master)'!$G:$G,$K3))</f>
        <v>Working</v>
      </c>
      <c r="F3" s="26" t="str">
        <f aca="false">IF($K3="","",IF(INDEX('All Devices (Master)'!$H:$H,$K3)=0,"",INDEX('All Devices (Master)'!$H:$H,$K3)))</f>
        <v/>
      </c>
      <c r="G3" s="26" t="str">
        <f aca="false">IF($K3="","",IF(INDEX('All Devices (Master)'!$I:$I,$K3)=0,"",INDEX('All Devices (Master)'!$I:$I,$K3)))</f>
        <v>display is little bit unclear </v>
      </c>
      <c r="H3" s="26" t="str">
        <f aca="false">IF($K3="","",IF(INDEX('All Devices (Master)'!$J:$J,$K3)=0,"",INDEX('All Devices (Master)'!$J:$J,$K3)))</f>
        <v>Black &amp; White</v>
      </c>
      <c r="I3" s="26" t="str">
        <f aca="false">IF($K3="","",INDEX('All Devices (Master)'!$V:$V,$K3))</f>
        <v/>
      </c>
      <c r="K3" s="1" t="n">
        <f aca="false">IFERROR(MATCH("D2-"&amp;1,'All Devices (Master)'!$U:$U,0),"")</f>
        <v>69</v>
      </c>
    </row>
    <row r="4" customFormat="false" ht="15" hidden="false" customHeight="true" outlineLevel="0" collapsed="false">
      <c r="A4" s="40" t="n">
        <f aca="false">IF($K4="","",2)</f>
        <v>2</v>
      </c>
      <c r="B4" s="32" t="str">
        <f aca="false">IF($K4="","",INDEX('All Devices (Master)'!$D:$D,$K4))</f>
        <v>X628</v>
      </c>
      <c r="C4" s="32" t="str">
        <f aca="false">IF($K4="","",INDEX('All Devices (Master)'!$E:$E,$K4))</f>
        <v>Pitakotte</v>
      </c>
      <c r="D4" s="32" t="str">
        <f aca="false">IF($K4="","",INDEX('All Devices (Master)'!$F:$F,$K4))</f>
        <v>6006173400005</v>
      </c>
      <c r="E4" s="32" t="str">
        <f aca="false">IF($K4="","",INDEX('All Devices (Master)'!$G:$G,$K4))</f>
        <v>Working</v>
      </c>
      <c r="F4" s="32" t="str">
        <f aca="false">IF($K4="","",IF(INDEX('All Devices (Master)'!$H:$H,$K4)=0,"",INDEX('All Devices (Master)'!$H:$H,$K4)))</f>
        <v/>
      </c>
      <c r="G4" s="32" t="str">
        <f aca="false">IF($K4="","",IF(INDEX('All Devices (Master)'!$I:$I,$K4)=0,"",INDEX('All Devices (Master)'!$I:$I,$K4)))</f>
        <v>display is little bit unclear</v>
      </c>
      <c r="H4" s="32" t="str">
        <f aca="false">IF($K4="","",IF(INDEX('All Devices (Master)'!$J:$J,$K4)=0,"",INDEX('All Devices (Master)'!$J:$J,$K4)))</f>
        <v>Black &amp; White</v>
      </c>
      <c r="I4" s="32" t="str">
        <f aca="false">IF($K4="","",INDEX('All Devices (Master)'!$V:$V,$K4))</f>
        <v/>
      </c>
      <c r="K4" s="1" t="n">
        <f aca="false">IFERROR(MATCH("D2-"&amp;2,'All Devices (Master)'!$U:$U,0),"")</f>
        <v>71</v>
      </c>
    </row>
    <row r="5" customFormat="false" ht="15" hidden="false" customHeight="true" outlineLevel="0" collapsed="false">
      <c r="A5" s="39" t="n">
        <f aca="false">IF($K5="","",3)</f>
        <v>3</v>
      </c>
      <c r="B5" s="26" t="str">
        <f aca="false">IF($K5="","",INDEX('All Devices (Master)'!$D:$D,$K5))</f>
        <v>X628</v>
      </c>
      <c r="C5" s="26" t="str">
        <f aca="false">IF($K5="","",INDEX('All Devices (Master)'!$E:$E,$K5))</f>
        <v>Tyre Junction</v>
      </c>
      <c r="D5" s="26" t="str">
        <f aca="false">IF($K5="","",INDEX('All Devices (Master)'!$F:$F,$K5))</f>
        <v>0065172410001</v>
      </c>
      <c r="E5" s="26" t="str">
        <f aca="false">IF($K5="","",INDEX('All Devices (Master)'!$G:$G,$K5))</f>
        <v>Working</v>
      </c>
      <c r="F5" s="26" t="str">
        <f aca="false">IF($K5="","",IF(INDEX('All Devices (Master)'!$H:$H,$K5)=0,"",INDEX('All Devices (Master)'!$H:$H,$K5)))</f>
        <v/>
      </c>
      <c r="G5" s="26" t="str">
        <f aca="false">IF($K5="","",IF(INDEX('All Devices (Master)'!$I:$I,$K5)=0,"",INDEX('All Devices (Master)'!$I:$I,$K5)))</f>
        <v>Display is not clear</v>
      </c>
      <c r="H5" s="26" t="str">
        <f aca="false">IF($K5="","",IF(INDEX('All Devices (Master)'!$J:$J,$K5)=0,"",INDEX('All Devices (Master)'!$J:$J,$K5)))</f>
        <v>Black &amp; White</v>
      </c>
      <c r="I5" s="26" t="str">
        <f aca="false">IF($K5="","",INDEX('All Devices (Master)'!$V:$V,$K5))</f>
        <v/>
      </c>
      <c r="K5" s="1" t="n">
        <f aca="false">IFERROR(MATCH("D2-"&amp;3,'All Devices (Master)'!$U:$U,0),"")</f>
        <v>73</v>
      </c>
    </row>
    <row r="6" customFormat="false" ht="15" hidden="false" customHeight="true" outlineLevel="0" collapsed="false">
      <c r="A6" s="40" t="n">
        <f aca="false">IF($K6="","",4)</f>
        <v>4</v>
      </c>
      <c r="B6" s="32" t="str">
        <f aca="false">IF($K6="","",INDEX('All Devices (Master)'!$D:$D,$K6))</f>
        <v>X628</v>
      </c>
      <c r="C6" s="32" t="str">
        <f aca="false">IF($K6="","",INDEX('All Devices (Master)'!$E:$E,$K6))</f>
        <v>Rajagiriya 02</v>
      </c>
      <c r="D6" s="32" t="str">
        <f aca="false">IF($K6="","",INDEX('All Devices (Master)'!$F:$F,$K6))</f>
        <v>6006154200005</v>
      </c>
      <c r="E6" s="32" t="str">
        <f aca="false">IF($K6="","",INDEX('All Devices (Master)'!$G:$G,$K6))</f>
        <v>Working</v>
      </c>
      <c r="F6" s="32" t="str">
        <f aca="false">IF($K6="","",IF(INDEX('All Devices (Master)'!$H:$H,$K6)=0,"",INDEX('All Devices (Master)'!$H:$H,$K6)))</f>
        <v/>
      </c>
      <c r="G6" s="32" t="str">
        <f aca="false">IF($K6="","",IF(INDEX('All Devices (Master)'!$I:$I,$K6)=0,"",INDEX('All Devices (Master)'!$I:$I,$K6)))</f>
        <v>display is little bit un clear </v>
      </c>
      <c r="H6" s="32" t="str">
        <f aca="false">IF($K6="","",IF(INDEX('All Devices (Master)'!$J:$J,$K6)=0,"",INDEX('All Devices (Master)'!$J:$J,$K6)))</f>
        <v>Black &amp; White</v>
      </c>
      <c r="I6" s="32" t="str">
        <f aca="false">IF($K6="","",INDEX('All Devices (Master)'!$V:$V,$K6))</f>
        <v/>
      </c>
      <c r="K6" s="1" t="n">
        <f aca="false">IFERROR(MATCH("D2-"&amp;4,'All Devices (Master)'!$U:$U,0),"")</f>
        <v>76</v>
      </c>
    </row>
    <row r="7" customFormat="false" ht="15" hidden="false" customHeight="true" outlineLevel="0" collapsed="false">
      <c r="A7" s="39" t="n">
        <f aca="false">IF($K7="","",5)</f>
        <v>5</v>
      </c>
      <c r="B7" s="26" t="str">
        <f aca="false">IF($K7="","",INDEX('All Devices (Master)'!$D:$D,$K7))</f>
        <v>X628</v>
      </c>
      <c r="C7" s="26" t="str">
        <f aca="false">IF($K7="","",INDEX('All Devices (Master)'!$E:$E,$K7))</f>
        <v>Kiribathgoda 01</v>
      </c>
      <c r="D7" s="26" t="str">
        <f aca="false">IF($K7="","",INDEX('All Devices (Master)'!$F:$F,$K7))</f>
        <v>0065653040006</v>
      </c>
      <c r="E7" s="26" t="str">
        <f aca="false">IF($K7="","",INDEX('All Devices (Master)'!$G:$G,$K7))</f>
        <v>Working</v>
      </c>
      <c r="F7" s="26" t="str">
        <f aca="false">IF($K7="","",IF(INDEX('All Devices (Master)'!$H:$H,$K7)=0,"",INDEX('All Devices (Master)'!$H:$H,$K7)))</f>
        <v/>
      </c>
      <c r="G7" s="26" t="str">
        <f aca="false">IF($K7="","",IF(INDEX('All Devices (Master)'!$I:$I,$K7)=0,"",INDEX('All Devices (Master)'!$I:$I,$K7)))</f>
        <v>display is not clear</v>
      </c>
      <c r="H7" s="26" t="str">
        <f aca="false">IF($K7="","",IF(INDEX('All Devices (Master)'!$J:$J,$K7)=0,"",INDEX('All Devices (Master)'!$J:$J,$K7)))</f>
        <v>Black &amp; White</v>
      </c>
      <c r="I7" s="26" t="str">
        <f aca="false">IF($K7="","",INDEX('All Devices (Master)'!$V:$V,$K7))</f>
        <v/>
      </c>
      <c r="K7" s="1" t="n">
        <f aca="false">IFERROR(MATCH("D2-"&amp;5,'All Devices (Master)'!$U:$U,0),"")</f>
        <v>78</v>
      </c>
    </row>
    <row r="8" customFormat="false" ht="15" hidden="false" customHeight="true" outlineLevel="0" collapsed="false">
      <c r="A8" s="40" t="n">
        <f aca="false">IF($K8="","",6)</f>
        <v>6</v>
      </c>
      <c r="B8" s="32" t="str">
        <f aca="false">IF($K8="","",INDEX('All Devices (Master)'!$D:$D,$K8))</f>
        <v>X628</v>
      </c>
      <c r="C8" s="32" t="str">
        <f aca="false">IF($K8="","",INDEX('All Devices (Master)'!$E:$E,$K8))</f>
        <v>Gamsaba</v>
      </c>
      <c r="D8" s="32" t="str">
        <f aca="false">IF($K8="","",INDEX('All Devices (Master)'!$F:$F,$K8))</f>
        <v>0065653040016</v>
      </c>
      <c r="E8" s="32" t="str">
        <f aca="false">IF($K8="","",INDEX('All Devices (Master)'!$G:$G,$K8))</f>
        <v>Working</v>
      </c>
      <c r="F8" s="32" t="str">
        <f aca="false">IF($K8="","",IF(INDEX('All Devices (Master)'!$H:$H,$K8)=0,"",INDEX('All Devices (Master)'!$H:$H,$K8)))</f>
        <v/>
      </c>
      <c r="G8" s="32" t="str">
        <f aca="false">IF($K8="","",IF(INDEX('All Devices (Master)'!$I:$I,$K8)=0,"",INDEX('All Devices (Master)'!$I:$I,$K8)))</f>
        <v>display is unclear</v>
      </c>
      <c r="H8" s="32" t="str">
        <f aca="false">IF($K8="","",IF(INDEX('All Devices (Master)'!$J:$J,$K8)=0,"",INDEX('All Devices (Master)'!$J:$J,$K8)))</f>
        <v>Black &amp; White</v>
      </c>
      <c r="I8" s="32" t="str">
        <f aca="false">IF($K8="","",INDEX('All Devices (Master)'!$V:$V,$K8))</f>
        <v/>
      </c>
      <c r="K8" s="1" t="n">
        <f aca="false">IFERROR(MATCH("D2-"&amp;6,'All Devices (Master)'!$U:$U,0),"")</f>
        <v>84</v>
      </c>
    </row>
    <row r="9" customFormat="false" ht="15" hidden="false" customHeight="true" outlineLevel="0" collapsed="false">
      <c r="A9" s="39" t="n">
        <f aca="false">IF($K9="","",7)</f>
        <v>7</v>
      </c>
      <c r="B9" s="26" t="str">
        <f aca="false">IF($K9="","",INDEX('All Devices (Master)'!$D:$D,$K9))</f>
        <v>X628</v>
      </c>
      <c r="C9" s="26" t="str">
        <f aca="false">IF($K9="","",INDEX('All Devices (Master)'!$E:$E,$K9))</f>
        <v>Boralesgamuwa 02</v>
      </c>
      <c r="D9" s="26" t="str">
        <f aca="false">IF($K9="","",INDEX('All Devices (Master)'!$F:$F,$K9))</f>
        <v>6006152800001</v>
      </c>
      <c r="E9" s="26" t="str">
        <f aca="false">IF($K9="","",INDEX('All Devices (Master)'!$G:$G,$K9))</f>
        <v>Working</v>
      </c>
      <c r="F9" s="26" t="str">
        <f aca="false">IF($K9="","",IF(INDEX('All Devices (Master)'!$H:$H,$K9)=0,"",INDEX('All Devices (Master)'!$H:$H,$K9)))</f>
        <v/>
      </c>
      <c r="G9" s="26" t="str">
        <f aca="false">IF($K9="","",IF(INDEX('All Devices (Master)'!$I:$I,$K9)=0,"",INDEX('All Devices (Master)'!$I:$I,$K9)))</f>
        <v>Display is not clear</v>
      </c>
      <c r="H9" s="26" t="str">
        <f aca="false">IF($K9="","",IF(INDEX('All Devices (Master)'!$J:$J,$K9)=0,"",INDEX('All Devices (Master)'!$J:$J,$K9)))</f>
        <v>Black &amp; White</v>
      </c>
      <c r="I9" s="26" t="str">
        <f aca="false">IF($K9="","",INDEX('All Devices (Master)'!$V:$V,$K9))</f>
        <v/>
      </c>
      <c r="K9" s="1" t="n">
        <f aca="false">IFERROR(MATCH("D2-"&amp;7,'All Devices (Master)'!$U:$U,0),"")</f>
        <v>88</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IFERROR(MATCH("D2-"&amp;8,'All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IFERROR(MATCH("D2-"&amp;9,'All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IFERROR(MATCH("D2-"&amp;10,'All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IFERROR(MATCH("D2-"&amp;11,'All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IFERROR(MATCH("D2-"&amp;12,'All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IFERROR(MATCH("D2-"&amp;13,'All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IFERROR(MATCH("D2-"&amp;14,'All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IFERROR(MATCH("D2-"&amp;15,'All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IFERROR(MATCH("D2-"&amp;16,'All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IFERROR(MATCH("D2-"&amp;17,'All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IFERROR(MATCH("D2-"&amp;18,'All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IFERROR(MATCH("D2-"&amp;19,'All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IFERROR(MATCH("D2-"&amp;20,'All Devices (Master)'!$U:$U,0),"")</f>
        <v/>
      </c>
    </row>
    <row r="23" customFormat="false" ht="15" hidden="false" customHeight="true" outlineLevel="0" collapsed="false">
      <c r="A23" s="39" t="str">
        <f aca="false">IF($K23="","",21)</f>
        <v/>
      </c>
      <c r="B23" s="26" t="str">
        <f aca="false">IF($K23="","",INDEX('All Devices (Master)'!$D:$D,$K23))</f>
        <v/>
      </c>
      <c r="C23" s="26" t="str">
        <f aca="false">IF($K23="","",INDEX('All Devices (Master)'!$E:$E,$K23))</f>
        <v/>
      </c>
      <c r="D23" s="26" t="str">
        <f aca="false">IF($K23="","",INDEX('All Devices (Master)'!$F:$F,$K23))</f>
        <v/>
      </c>
      <c r="E23" s="26" t="str">
        <f aca="false">IF($K23="","",INDEX('All Devices (Master)'!$G:$G,$K23))</f>
        <v/>
      </c>
      <c r="F23" s="26" t="str">
        <f aca="false">IF($K23="","",IF(INDEX('All Devices (Master)'!$H:$H,$K23)=0,"",INDEX('All Devices (Master)'!$H:$H,$K23)))</f>
        <v/>
      </c>
      <c r="G23" s="26" t="str">
        <f aca="false">IF($K23="","",IF(INDEX('All Devices (Master)'!$I:$I,$K23)=0,"",INDEX('All Devices (Master)'!$I:$I,$K23)))</f>
        <v/>
      </c>
      <c r="H23" s="26" t="str">
        <f aca="false">IF($K23="","",IF(INDEX('All Devices (Master)'!$J:$J,$K23)=0,"",INDEX('All Devices (Master)'!$J:$J,$K23)))</f>
        <v/>
      </c>
      <c r="I23" s="26" t="str">
        <f aca="false">IF($K23="","",INDEX('All Devices (Master)'!$V:$V,$K23))</f>
        <v/>
      </c>
      <c r="K23" s="1" t="str">
        <f aca="false">IFERROR(MATCH("D2-"&amp;21,'All Devices (Master)'!$U:$U,0),"")</f>
        <v/>
      </c>
    </row>
    <row r="24" customFormat="false" ht="15" hidden="false" customHeight="true" outlineLevel="0" collapsed="false">
      <c r="A24" s="40" t="str">
        <f aca="false">IF($K24="","",22)</f>
        <v/>
      </c>
      <c r="B24" s="32" t="str">
        <f aca="false">IF($K24="","",INDEX('All Devices (Master)'!$D:$D,$K24))</f>
        <v/>
      </c>
      <c r="C24" s="32" t="str">
        <f aca="false">IF($K24="","",INDEX('All Devices (Master)'!$E:$E,$K24))</f>
        <v/>
      </c>
      <c r="D24" s="32" t="str">
        <f aca="false">IF($K24="","",INDEX('All Devices (Master)'!$F:$F,$K24))</f>
        <v/>
      </c>
      <c r="E24" s="32" t="str">
        <f aca="false">IF($K24="","",INDEX('All Devices (Master)'!$G:$G,$K24))</f>
        <v/>
      </c>
      <c r="F24" s="32" t="str">
        <f aca="false">IF($K24="","",IF(INDEX('All Devices (Master)'!$H:$H,$K24)=0,"",INDEX('All Devices (Master)'!$H:$H,$K24)))</f>
        <v/>
      </c>
      <c r="G24" s="32" t="str">
        <f aca="false">IF($K24="","",IF(INDEX('All Devices (Master)'!$I:$I,$K24)=0,"",INDEX('All Devices (Master)'!$I:$I,$K24)))</f>
        <v/>
      </c>
      <c r="H24" s="32" t="str">
        <f aca="false">IF($K24="","",IF(INDEX('All Devices (Master)'!$J:$J,$K24)=0,"",INDEX('All Devices (Master)'!$J:$J,$K24)))</f>
        <v/>
      </c>
      <c r="I24" s="32" t="str">
        <f aca="false">IF($K24="","",INDEX('All Devices (Master)'!$V:$V,$K24))</f>
        <v/>
      </c>
      <c r="K24" s="1" t="str">
        <f aca="false">IFERROR(MATCH("D2-"&amp;22,'All Devices (Master)'!$U:$U,0),"")</f>
        <v/>
      </c>
    </row>
    <row r="25" customFormat="false" ht="15" hidden="false" customHeight="true" outlineLevel="0" collapsed="false">
      <c r="A25" s="39" t="str">
        <f aca="false">IF($K25="","",23)</f>
        <v/>
      </c>
      <c r="B25" s="26" t="str">
        <f aca="false">IF($K25="","",INDEX('All Devices (Master)'!$D:$D,$K25))</f>
        <v/>
      </c>
      <c r="C25" s="26" t="str">
        <f aca="false">IF($K25="","",INDEX('All Devices (Master)'!$E:$E,$K25))</f>
        <v/>
      </c>
      <c r="D25" s="26" t="str">
        <f aca="false">IF($K25="","",INDEX('All Devices (Master)'!$F:$F,$K25))</f>
        <v/>
      </c>
      <c r="E25" s="26" t="str">
        <f aca="false">IF($K25="","",INDEX('All Devices (Master)'!$G:$G,$K25))</f>
        <v/>
      </c>
      <c r="F25" s="26" t="str">
        <f aca="false">IF($K25="","",IF(INDEX('All Devices (Master)'!$H:$H,$K25)=0,"",INDEX('All Devices (Master)'!$H:$H,$K25)))</f>
        <v/>
      </c>
      <c r="G25" s="26" t="str">
        <f aca="false">IF($K25="","",IF(INDEX('All Devices (Master)'!$I:$I,$K25)=0,"",INDEX('All Devices (Master)'!$I:$I,$K25)))</f>
        <v/>
      </c>
      <c r="H25" s="26" t="str">
        <f aca="false">IF($K25="","",IF(INDEX('All Devices (Master)'!$J:$J,$K25)=0,"",INDEX('All Devices (Master)'!$J:$J,$K25)))</f>
        <v/>
      </c>
      <c r="I25" s="26" t="str">
        <f aca="false">IF($K25="","",INDEX('All Devices (Master)'!$V:$V,$K25))</f>
        <v/>
      </c>
      <c r="K25" s="1" t="str">
        <f aca="false">IFERROR(MATCH("D2-"&amp;23,'All Devices (Master)'!$U:$U,0),"")</f>
        <v/>
      </c>
    </row>
    <row r="26" customFormat="false" ht="15" hidden="false" customHeight="true" outlineLevel="0" collapsed="false">
      <c r="A26" s="40" t="str">
        <f aca="false">IF($K26="","",24)</f>
        <v/>
      </c>
      <c r="B26" s="32" t="str">
        <f aca="false">IF($K26="","",INDEX('All Devices (Master)'!$D:$D,$K26))</f>
        <v/>
      </c>
      <c r="C26" s="32" t="str">
        <f aca="false">IF($K26="","",INDEX('All Devices (Master)'!$E:$E,$K26))</f>
        <v/>
      </c>
      <c r="D26" s="32" t="str">
        <f aca="false">IF($K26="","",INDEX('All Devices (Master)'!$F:$F,$K26))</f>
        <v/>
      </c>
      <c r="E26" s="32" t="str">
        <f aca="false">IF($K26="","",INDEX('All Devices (Master)'!$G:$G,$K26))</f>
        <v/>
      </c>
      <c r="F26" s="32" t="str">
        <f aca="false">IF($K26="","",IF(INDEX('All Devices (Master)'!$H:$H,$K26)=0,"",INDEX('All Devices (Master)'!$H:$H,$K26)))</f>
        <v/>
      </c>
      <c r="G26" s="32" t="str">
        <f aca="false">IF($K26="","",IF(INDEX('All Devices (Master)'!$I:$I,$K26)=0,"",INDEX('All Devices (Master)'!$I:$I,$K26)))</f>
        <v/>
      </c>
      <c r="H26" s="32" t="str">
        <f aca="false">IF($K26="","",IF(INDEX('All Devices (Master)'!$J:$J,$K26)=0,"",INDEX('All Devices (Master)'!$J:$J,$K26)))</f>
        <v/>
      </c>
      <c r="I26" s="32" t="str">
        <f aca="false">IF($K26="","",INDEX('All Devices (Master)'!$V:$V,$K26))</f>
        <v/>
      </c>
      <c r="K26" s="1" t="str">
        <f aca="false">IFERROR(MATCH("D2-"&amp;24,'All Devices (Master)'!$U:$U,0),"")</f>
        <v/>
      </c>
    </row>
    <row r="27" customFormat="false" ht="15" hidden="false" customHeight="true" outlineLevel="0" collapsed="false">
      <c r="A27" s="39" t="str">
        <f aca="false">IF($K27="","",25)</f>
        <v/>
      </c>
      <c r="B27" s="26" t="str">
        <f aca="false">IF($K27="","",INDEX('All Devices (Master)'!$D:$D,$K27))</f>
        <v/>
      </c>
      <c r="C27" s="26" t="str">
        <f aca="false">IF($K27="","",INDEX('All Devices (Master)'!$E:$E,$K27))</f>
        <v/>
      </c>
      <c r="D27" s="26" t="str">
        <f aca="false">IF($K27="","",INDEX('All Devices (Master)'!$F:$F,$K27))</f>
        <v/>
      </c>
      <c r="E27" s="26" t="str">
        <f aca="false">IF($K27="","",INDEX('All Devices (Master)'!$G:$G,$K27))</f>
        <v/>
      </c>
      <c r="F27" s="26" t="str">
        <f aca="false">IF($K27="","",IF(INDEX('All Devices (Master)'!$H:$H,$K27)=0,"",INDEX('All Devices (Master)'!$H:$H,$K27)))</f>
        <v/>
      </c>
      <c r="G27" s="26" t="str">
        <f aca="false">IF($K27="","",IF(INDEX('All Devices (Master)'!$I:$I,$K27)=0,"",INDEX('All Devices (Master)'!$I:$I,$K27)))</f>
        <v/>
      </c>
      <c r="H27" s="26" t="str">
        <f aca="false">IF($K27="","",IF(INDEX('All Devices (Master)'!$J:$J,$K27)=0,"",INDEX('All Devices (Master)'!$J:$J,$K27)))</f>
        <v/>
      </c>
      <c r="I27" s="26" t="str">
        <f aca="false">IF($K27="","",INDEX('All Devices (Master)'!$V:$V,$K27))</f>
        <v/>
      </c>
      <c r="K27" s="1" t="str">
        <f aca="false">IFERROR(MATCH("D2-"&amp;25,'All Devices (Master)'!$U:$U,0),"")</f>
        <v/>
      </c>
    </row>
  </sheetData>
  <autoFilter ref="A2:I27"/>
  <mergeCells count="1">
    <mergeCell ref="A1:I1"/>
  </mergeCells>
  <conditionalFormatting sqref="I3:I27">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1" t="s">
        <v>457</v>
      </c>
      <c r="B1" s="41"/>
      <c r="C1" s="41"/>
      <c r="D1" s="41"/>
      <c r="E1" s="41"/>
      <c r="F1" s="41"/>
      <c r="G1" s="41"/>
      <c r="H1" s="41"/>
      <c r="I1" s="41"/>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Nawala</v>
      </c>
      <c r="D3" s="26" t="str">
        <f aca="false">IF($K3="","",INDEX('All Devices (Master)'!$F:$F,$K3))</f>
        <v>6006152300002</v>
      </c>
      <c r="E3" s="26" t="str">
        <f aca="false">IF($K3="","",INDEX('All Devices (Master)'!$G:$G,$K3))</f>
        <v>Working</v>
      </c>
      <c r="F3" s="26" t="str">
        <f aca="false">IF($K3="","",IF(INDEX('All Devices (Master)'!$H:$H,$K3)=0,"",INDEX('All Devices (Master)'!$H:$H,$K3)))</f>
        <v/>
      </c>
      <c r="G3" s="26" t="str">
        <f aca="false">IF($K3="","",IF(INDEX('All Devices (Master)'!$I:$I,$K3)=0,"",INDEX('All Devices (Master)'!$I:$I,$K3)))</f>
        <v>display is little bit un clear</v>
      </c>
      <c r="H3" s="26" t="str">
        <f aca="false">IF($K3="","",IF(INDEX('All Devices (Master)'!$J:$J,$K3)=0,"",INDEX('All Devices (Master)'!$J:$J,$K3)))</f>
        <v>Black &amp; White</v>
      </c>
      <c r="I3" s="26" t="str">
        <f aca="false">IF($K3="","",INDEX('All Devices (Master)'!$V:$V,$K3))</f>
        <v/>
      </c>
      <c r="K3" s="1" t="n">
        <f aca="false">IFERROR(MATCH("D3-"&amp;1,'All Devices (Master)'!$U:$U,0),"")</f>
        <v>90</v>
      </c>
    </row>
    <row r="4" customFormat="false" ht="15" hidden="false" customHeight="true" outlineLevel="0" collapsed="false">
      <c r="A4" s="40" t="n">
        <f aca="false">IF($K4="","",2)</f>
        <v>2</v>
      </c>
      <c r="B4" s="32" t="str">
        <f aca="false">IF($K4="","",INDEX('All Devices (Master)'!$D:$D,$K4))</f>
        <v>X628</v>
      </c>
      <c r="C4" s="32" t="str">
        <f aca="false">IF($K4="","",INDEX('All Devices (Master)'!$E:$E,$K4))</f>
        <v>Pittugala</v>
      </c>
      <c r="D4" s="32" t="str">
        <f aca="false">IF($K4="","",INDEX('All Devices (Master)'!$F:$F,$K4))</f>
        <v>0063022520002</v>
      </c>
      <c r="E4" s="32" t="str">
        <f aca="false">IF($K4="","",INDEX('All Devices (Master)'!$G:$G,$K4))</f>
        <v>Working</v>
      </c>
      <c r="F4" s="32" t="str">
        <f aca="false">IF($K4="","",IF(INDEX('All Devices (Master)'!$H:$H,$K4)=0,"",INDEX('All Devices (Master)'!$H:$H,$K4)))</f>
        <v/>
      </c>
      <c r="G4" s="32" t="str">
        <f aca="false">IF($K4="","",IF(INDEX('All Devices (Master)'!$I:$I,$K4)=0,"",INDEX('All Devices (Master)'!$I:$I,$K4)))</f>
        <v>Display is not clear</v>
      </c>
      <c r="H4" s="32" t="str">
        <f aca="false">IF($K4="","",IF(INDEX('All Devices (Master)'!$J:$J,$K4)=0,"",INDEX('All Devices (Master)'!$J:$J,$K4)))</f>
        <v>Black &amp; White</v>
      </c>
      <c r="I4" s="32" t="str">
        <f aca="false">IF($K4="","",INDEX('All Devices (Master)'!$V:$V,$K4))</f>
        <v/>
      </c>
      <c r="K4" s="1" t="n">
        <f aca="false">IFERROR(MATCH("D3-"&amp;2,'All Devices (Master)'!$U:$U,0),"")</f>
        <v>92</v>
      </c>
    </row>
    <row r="5" customFormat="false" ht="15" hidden="false" customHeight="true" outlineLevel="0" collapsed="false">
      <c r="A5" s="39" t="n">
        <f aca="false">IF($K5="","",3)</f>
        <v>3</v>
      </c>
      <c r="B5" s="26" t="str">
        <f aca="false">IF($K5="","",INDEX('All Devices (Master)'!$D:$D,$K5))</f>
        <v>X628</v>
      </c>
      <c r="C5" s="26" t="str">
        <f aca="false">IF($K5="","",INDEX('All Devices (Master)'!$E:$E,$K5))</f>
        <v>Wellampitiya</v>
      </c>
      <c r="D5" s="26" t="str">
        <f aca="false">IF($K5="","",INDEX('All Devices (Master)'!$F:$F,$K5))</f>
        <v>0006141100012</v>
      </c>
      <c r="E5" s="26" t="str">
        <f aca="false">IF($K5="","",INDEX('All Devices (Master)'!$G:$G,$K5))</f>
        <v>Working</v>
      </c>
      <c r="F5" s="26" t="str">
        <f aca="false">IF($K5="","",IF(INDEX('All Devices (Master)'!$H:$H,$K5)=0,"",INDEX('All Devices (Master)'!$H:$H,$K5)))</f>
        <v/>
      </c>
      <c r="G5" s="26" t="str">
        <f aca="false">IF($K5="","",IF(INDEX('All Devices (Master)'!$I:$I,$K5)=0,"",INDEX('All Devices (Master)'!$I:$I,$K5)))</f>
        <v>Display is not clear</v>
      </c>
      <c r="H5" s="26" t="str">
        <f aca="false">IF($K5="","",IF(INDEX('All Devices (Master)'!$J:$J,$K5)=0,"",INDEX('All Devices (Master)'!$J:$J,$K5)))</f>
        <v>Black &amp; White</v>
      </c>
      <c r="I5" s="26" t="str">
        <f aca="false">IF($K5="","",INDEX('All Devices (Master)'!$V:$V,$K5))</f>
        <v/>
      </c>
      <c r="K5" s="1" t="n">
        <f aca="false">IFERROR(MATCH("D3-"&amp;3,'All Devices (Master)'!$U:$U,0),"")</f>
        <v>102</v>
      </c>
    </row>
    <row r="6" customFormat="false" ht="15" hidden="false" customHeight="true" outlineLevel="0" collapsed="false">
      <c r="A6" s="40" t="n">
        <f aca="false">IF($K6="","",4)</f>
        <v>4</v>
      </c>
      <c r="B6" s="32" t="str">
        <f aca="false">IF($K6="","",INDEX('All Devices (Master)'!$D:$D,$K6))</f>
        <v>X628</v>
      </c>
      <c r="C6" s="32" t="str">
        <f aca="false">IF($K6="","",INDEX('All Devices (Master)'!$E:$E,$K6))</f>
        <v>Nalluruwa</v>
      </c>
      <c r="D6" s="32" t="str">
        <f aca="false">IF($K6="","",INDEX('All Devices (Master)'!$F:$F,$K6))</f>
        <v>A5RN174660004</v>
      </c>
      <c r="E6" s="32" t="str">
        <f aca="false">IF($K6="","",INDEX('All Devices (Master)'!$G:$G,$K6))</f>
        <v>Working</v>
      </c>
      <c r="F6" s="32" t="str">
        <f aca="false">IF($K6="","",IF(INDEX('All Devices (Master)'!$H:$H,$K6)=0,"",INDEX('All Devices (Master)'!$H:$H,$K6)))</f>
        <v/>
      </c>
      <c r="G6" s="32" t="str">
        <f aca="false">IF($K6="","",IF(INDEX('All Devices (Master)'!$I:$I,$K6)=0,"",INDEX('All Devices (Master)'!$I:$I,$K6)))</f>
        <v>Display is not clear</v>
      </c>
      <c r="H6" s="32" t="str">
        <f aca="false">IF($K6="","",IF(INDEX('All Devices (Master)'!$J:$J,$K6)=0,"",INDEX('All Devices (Master)'!$J:$J,$K6)))</f>
        <v>Black &amp; White</v>
      </c>
      <c r="I6" s="32" t="str">
        <f aca="false">IF($K6="","",INDEX('All Devices (Master)'!$V:$V,$K6))</f>
        <v/>
      </c>
      <c r="K6" s="1" t="n">
        <f aca="false">IFERROR(MATCH("D3-"&amp;4,'All Devices (Master)'!$U:$U,0),"")</f>
        <v>104</v>
      </c>
    </row>
    <row r="7" customFormat="false" ht="15" hidden="false" customHeight="true" outlineLevel="0" collapsed="false">
      <c r="A7" s="39" t="n">
        <f aca="false">IF($K7="","",5)</f>
        <v>5</v>
      </c>
      <c r="B7" s="26" t="str">
        <f aca="false">IF($K7="","",INDEX('All Devices (Master)'!$D:$D,$K7))</f>
        <v>X628</v>
      </c>
      <c r="C7" s="26" t="str">
        <f aca="false">IF($K7="","",INDEX('All Devices (Master)'!$E:$E,$K7))</f>
        <v>Arangala</v>
      </c>
      <c r="D7" s="26" t="str">
        <f aca="false">IF($K7="","",INDEX('All Devices (Master)'!$F:$F,$K7))</f>
        <v>6006173400001</v>
      </c>
      <c r="E7" s="26" t="str">
        <f aca="false">IF($K7="","",INDEX('All Devices (Master)'!$G:$G,$K7))</f>
        <v>Working</v>
      </c>
      <c r="F7" s="26" t="str">
        <f aca="false">IF($K7="","",IF(INDEX('All Devices (Master)'!$H:$H,$K7)=0,"",INDEX('All Devices (Master)'!$H:$H,$K7)))</f>
        <v/>
      </c>
      <c r="G7" s="26" t="str">
        <f aca="false">IF($K7="","",IF(INDEX('All Devices (Master)'!$I:$I,$K7)=0,"",INDEX('All Devices (Master)'!$I:$I,$K7)))</f>
        <v>display is unclear</v>
      </c>
      <c r="H7" s="26" t="str">
        <f aca="false">IF($K7="","",IF(INDEX('All Devices (Master)'!$J:$J,$K7)=0,"",INDEX('All Devices (Master)'!$J:$J,$K7)))</f>
        <v>Black &amp; White</v>
      </c>
      <c r="I7" s="26" t="str">
        <f aca="false">IF($K7="","",INDEX('All Devices (Master)'!$V:$V,$K7))</f>
        <v/>
      </c>
      <c r="K7" s="1" t="n">
        <f aca="false">IFERROR(MATCH("D3-"&amp;5,'All Devices (Master)'!$U:$U,0),"")</f>
        <v>109</v>
      </c>
    </row>
    <row r="8" customFormat="false" ht="15" hidden="false" customHeight="true" outlineLevel="0" collapsed="false">
      <c r="A8" s="40" t="n">
        <f aca="false">IF($K8="","",6)</f>
        <v>6</v>
      </c>
      <c r="B8" s="32" t="str">
        <f aca="false">IF($K8="","",INDEX('All Devices (Master)'!$D:$D,$K8))</f>
        <v>X628</v>
      </c>
      <c r="C8" s="32" t="str">
        <f aca="false">IF($K8="","",INDEX('All Devices (Master)'!$E:$E,$K8))</f>
        <v>panadura 02</v>
      </c>
      <c r="D8" s="32" t="str">
        <f aca="false">IF($K8="","",INDEX('All Devices (Master)'!$F:$F,$K8))</f>
        <v>0067072480006</v>
      </c>
      <c r="E8" s="32" t="str">
        <f aca="false">IF($K8="","",INDEX('All Devices (Master)'!$G:$G,$K8))</f>
        <v>Working</v>
      </c>
      <c r="F8" s="32" t="str">
        <f aca="false">IF($K8="","",IF(INDEX('All Devices (Master)'!$H:$H,$K8)=0,"",INDEX('All Devices (Master)'!$H:$H,$K8)))</f>
        <v/>
      </c>
      <c r="G8" s="32" t="str">
        <f aca="false">IF($K8="","",IF(INDEX('All Devices (Master)'!$I:$I,$K8)=0,"",INDEX('All Devices (Master)'!$I:$I,$K8)))</f>
        <v>display is not clear</v>
      </c>
      <c r="H8" s="32" t="str">
        <f aca="false">IF($K8="","",IF(INDEX('All Devices (Master)'!$J:$J,$K8)=0,"",INDEX('All Devices (Master)'!$J:$J,$K8)))</f>
        <v>Black &amp; White</v>
      </c>
      <c r="I8" s="32" t="str">
        <f aca="false">IF($K8="","",INDEX('All Devices (Master)'!$V:$V,$K8))</f>
        <v/>
      </c>
      <c r="K8" s="1" t="n">
        <f aca="false">IFERROR(MATCH("D3-"&amp;6,'All Devices (Master)'!$U:$U,0),"")</f>
        <v>113</v>
      </c>
    </row>
    <row r="9" customFormat="false" ht="15" hidden="false" customHeight="true" outlineLevel="0" collapsed="false">
      <c r="A9" s="39" t="n">
        <f aca="false">IF($K9="","",7)</f>
        <v>7</v>
      </c>
      <c r="B9" s="26" t="str">
        <f aca="false">IF($K9="","",INDEX('All Devices (Master)'!$D:$D,$K9))</f>
        <v>X628</v>
      </c>
      <c r="C9" s="26" t="str">
        <f aca="false">IF($K9="","",INDEX('All Devices (Master)'!$E:$E,$K9))</f>
        <v>Mount Lavinia</v>
      </c>
      <c r="D9" s="26" t="str">
        <f aca="false">IF($K9="","",INDEX('All Devices (Master)'!$F:$F,$K9))</f>
        <v>0069373370001</v>
      </c>
      <c r="E9" s="26" t="str">
        <f aca="false">IF($K9="","",INDEX('All Devices (Master)'!$G:$G,$K9))</f>
        <v>Working</v>
      </c>
      <c r="F9" s="26" t="str">
        <f aca="false">IF($K9="","",IF(INDEX('All Devices (Master)'!$H:$H,$K9)=0,"",INDEX('All Devices (Master)'!$H:$H,$K9)))</f>
        <v/>
      </c>
      <c r="G9" s="26" t="str">
        <f aca="false">IF($K9="","",IF(INDEX('All Devices (Master)'!$I:$I,$K9)=0,"",INDEX('All Devices (Master)'!$I:$I,$K9)))</f>
        <v>Display is not clear</v>
      </c>
      <c r="H9" s="26" t="str">
        <f aca="false">IF($K9="","",IF(INDEX('All Devices (Master)'!$J:$J,$K9)=0,"",INDEX('All Devices (Master)'!$J:$J,$K9)))</f>
        <v>Black &amp; White</v>
      </c>
      <c r="I9" s="26" t="str">
        <f aca="false">IF($K9="","",INDEX('All Devices (Master)'!$V:$V,$K9))</f>
        <v/>
      </c>
      <c r="K9" s="1" t="n">
        <f aca="false">IFERROR(MATCH("D3-"&amp;7,'All Devices (Master)'!$U:$U,0),"")</f>
        <v>117</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IFERROR(MATCH("D3-"&amp;8,'All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IFERROR(MATCH("D3-"&amp;9,'All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IFERROR(MATCH("D3-"&amp;10,'All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IFERROR(MATCH("D3-"&amp;11,'All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IFERROR(MATCH("D3-"&amp;12,'All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IFERROR(MATCH("D3-"&amp;13,'All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IFERROR(MATCH("D3-"&amp;14,'All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IFERROR(MATCH("D3-"&amp;15,'All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IFERROR(MATCH("D3-"&amp;16,'All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IFERROR(MATCH("D3-"&amp;17,'All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IFERROR(MATCH("D3-"&amp;18,'All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IFERROR(MATCH("D3-"&amp;19,'All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IFERROR(MATCH("D3-"&amp;20,'All Devices (Master)'!$U:$U,0),"")</f>
        <v/>
      </c>
    </row>
    <row r="23" customFormat="false" ht="15" hidden="false" customHeight="true" outlineLevel="0" collapsed="false">
      <c r="A23" s="39" t="str">
        <f aca="false">IF($K23="","",21)</f>
        <v/>
      </c>
      <c r="B23" s="26" t="str">
        <f aca="false">IF($K23="","",INDEX('All Devices (Master)'!$D:$D,$K23))</f>
        <v/>
      </c>
      <c r="C23" s="26" t="str">
        <f aca="false">IF($K23="","",INDEX('All Devices (Master)'!$E:$E,$K23))</f>
        <v/>
      </c>
      <c r="D23" s="26" t="str">
        <f aca="false">IF($K23="","",INDEX('All Devices (Master)'!$F:$F,$K23))</f>
        <v/>
      </c>
      <c r="E23" s="26" t="str">
        <f aca="false">IF($K23="","",INDEX('All Devices (Master)'!$G:$G,$K23))</f>
        <v/>
      </c>
      <c r="F23" s="26" t="str">
        <f aca="false">IF($K23="","",IF(INDEX('All Devices (Master)'!$H:$H,$K23)=0,"",INDEX('All Devices (Master)'!$H:$H,$K23)))</f>
        <v/>
      </c>
      <c r="G23" s="26" t="str">
        <f aca="false">IF($K23="","",IF(INDEX('All Devices (Master)'!$I:$I,$K23)=0,"",INDEX('All Devices (Master)'!$I:$I,$K23)))</f>
        <v/>
      </c>
      <c r="H23" s="26" t="str">
        <f aca="false">IF($K23="","",IF(INDEX('All Devices (Master)'!$J:$J,$K23)=0,"",INDEX('All Devices (Master)'!$J:$J,$K23)))</f>
        <v/>
      </c>
      <c r="I23" s="26" t="str">
        <f aca="false">IF($K23="","",INDEX('All Devices (Master)'!$V:$V,$K23))</f>
        <v/>
      </c>
      <c r="K23" s="1" t="str">
        <f aca="false">IFERROR(MATCH("D3-"&amp;21,'All Devices (Master)'!$U:$U,0),"")</f>
        <v/>
      </c>
    </row>
    <row r="24" customFormat="false" ht="15" hidden="false" customHeight="true" outlineLevel="0" collapsed="false">
      <c r="A24" s="40" t="str">
        <f aca="false">IF($K24="","",22)</f>
        <v/>
      </c>
      <c r="B24" s="32" t="str">
        <f aca="false">IF($K24="","",INDEX('All Devices (Master)'!$D:$D,$K24))</f>
        <v/>
      </c>
      <c r="C24" s="32" t="str">
        <f aca="false">IF($K24="","",INDEX('All Devices (Master)'!$E:$E,$K24))</f>
        <v/>
      </c>
      <c r="D24" s="32" t="str">
        <f aca="false">IF($K24="","",INDEX('All Devices (Master)'!$F:$F,$K24))</f>
        <v/>
      </c>
      <c r="E24" s="32" t="str">
        <f aca="false">IF($K24="","",INDEX('All Devices (Master)'!$G:$G,$K24))</f>
        <v/>
      </c>
      <c r="F24" s="32" t="str">
        <f aca="false">IF($K24="","",IF(INDEX('All Devices (Master)'!$H:$H,$K24)=0,"",INDEX('All Devices (Master)'!$H:$H,$K24)))</f>
        <v/>
      </c>
      <c r="G24" s="32" t="str">
        <f aca="false">IF($K24="","",IF(INDEX('All Devices (Master)'!$I:$I,$K24)=0,"",INDEX('All Devices (Master)'!$I:$I,$K24)))</f>
        <v/>
      </c>
      <c r="H24" s="32" t="str">
        <f aca="false">IF($K24="","",IF(INDEX('All Devices (Master)'!$J:$J,$K24)=0,"",INDEX('All Devices (Master)'!$J:$J,$K24)))</f>
        <v/>
      </c>
      <c r="I24" s="32" t="str">
        <f aca="false">IF($K24="","",INDEX('All Devices (Master)'!$V:$V,$K24))</f>
        <v/>
      </c>
      <c r="K24" s="1" t="str">
        <f aca="false">IFERROR(MATCH("D3-"&amp;22,'All Devices (Master)'!$U:$U,0),"")</f>
        <v/>
      </c>
    </row>
    <row r="25" customFormat="false" ht="15" hidden="false" customHeight="true" outlineLevel="0" collapsed="false">
      <c r="A25" s="39" t="str">
        <f aca="false">IF($K25="","",23)</f>
        <v/>
      </c>
      <c r="B25" s="26" t="str">
        <f aca="false">IF($K25="","",INDEX('All Devices (Master)'!$D:$D,$K25))</f>
        <v/>
      </c>
      <c r="C25" s="26" t="str">
        <f aca="false">IF($K25="","",INDEX('All Devices (Master)'!$E:$E,$K25))</f>
        <v/>
      </c>
      <c r="D25" s="26" t="str">
        <f aca="false">IF($K25="","",INDEX('All Devices (Master)'!$F:$F,$K25))</f>
        <v/>
      </c>
      <c r="E25" s="26" t="str">
        <f aca="false">IF($K25="","",INDEX('All Devices (Master)'!$G:$G,$K25))</f>
        <v/>
      </c>
      <c r="F25" s="26" t="str">
        <f aca="false">IF($K25="","",IF(INDEX('All Devices (Master)'!$H:$H,$K25)=0,"",INDEX('All Devices (Master)'!$H:$H,$K25)))</f>
        <v/>
      </c>
      <c r="G25" s="26" t="str">
        <f aca="false">IF($K25="","",IF(INDEX('All Devices (Master)'!$I:$I,$K25)=0,"",INDEX('All Devices (Master)'!$I:$I,$K25)))</f>
        <v/>
      </c>
      <c r="H25" s="26" t="str">
        <f aca="false">IF($K25="","",IF(INDEX('All Devices (Master)'!$J:$J,$K25)=0,"",INDEX('All Devices (Master)'!$J:$J,$K25)))</f>
        <v/>
      </c>
      <c r="I25" s="26" t="str">
        <f aca="false">IF($K25="","",INDEX('All Devices (Master)'!$V:$V,$K25))</f>
        <v/>
      </c>
      <c r="K25" s="1" t="str">
        <f aca="false">IFERROR(MATCH("D3-"&amp;23,'All Devices (Master)'!$U:$U,0),"")</f>
        <v/>
      </c>
    </row>
    <row r="26" customFormat="false" ht="15" hidden="false" customHeight="true" outlineLevel="0" collapsed="false">
      <c r="A26" s="40" t="str">
        <f aca="false">IF($K26="","",24)</f>
        <v/>
      </c>
      <c r="B26" s="32" t="str">
        <f aca="false">IF($K26="","",INDEX('All Devices (Master)'!$D:$D,$K26))</f>
        <v/>
      </c>
      <c r="C26" s="32" t="str">
        <f aca="false">IF($K26="","",INDEX('All Devices (Master)'!$E:$E,$K26))</f>
        <v/>
      </c>
      <c r="D26" s="32" t="str">
        <f aca="false">IF($K26="","",INDEX('All Devices (Master)'!$F:$F,$K26))</f>
        <v/>
      </c>
      <c r="E26" s="32" t="str">
        <f aca="false">IF($K26="","",INDEX('All Devices (Master)'!$G:$G,$K26))</f>
        <v/>
      </c>
      <c r="F26" s="32" t="str">
        <f aca="false">IF($K26="","",IF(INDEX('All Devices (Master)'!$H:$H,$K26)=0,"",INDEX('All Devices (Master)'!$H:$H,$K26)))</f>
        <v/>
      </c>
      <c r="G26" s="32" t="str">
        <f aca="false">IF($K26="","",IF(INDEX('All Devices (Master)'!$I:$I,$K26)=0,"",INDEX('All Devices (Master)'!$I:$I,$K26)))</f>
        <v/>
      </c>
      <c r="H26" s="32" t="str">
        <f aca="false">IF($K26="","",IF(INDEX('All Devices (Master)'!$J:$J,$K26)=0,"",INDEX('All Devices (Master)'!$J:$J,$K26)))</f>
        <v/>
      </c>
      <c r="I26" s="32" t="str">
        <f aca="false">IF($K26="","",INDEX('All Devices (Master)'!$V:$V,$K26))</f>
        <v/>
      </c>
      <c r="K26" s="1" t="str">
        <f aca="false">IFERROR(MATCH("D3-"&amp;24,'All Devices (Master)'!$U:$U,0),"")</f>
        <v/>
      </c>
    </row>
    <row r="27" customFormat="false" ht="15" hidden="false" customHeight="true" outlineLevel="0" collapsed="false">
      <c r="A27" s="39" t="str">
        <f aca="false">IF($K27="","",25)</f>
        <v/>
      </c>
      <c r="B27" s="26" t="str">
        <f aca="false">IF($K27="","",INDEX('All Devices (Master)'!$D:$D,$K27))</f>
        <v/>
      </c>
      <c r="C27" s="26" t="str">
        <f aca="false">IF($K27="","",INDEX('All Devices (Master)'!$E:$E,$K27))</f>
        <v/>
      </c>
      <c r="D27" s="26" t="str">
        <f aca="false">IF($K27="","",INDEX('All Devices (Master)'!$F:$F,$K27))</f>
        <v/>
      </c>
      <c r="E27" s="26" t="str">
        <f aca="false">IF($K27="","",INDEX('All Devices (Master)'!$G:$G,$K27))</f>
        <v/>
      </c>
      <c r="F27" s="26" t="str">
        <f aca="false">IF($K27="","",IF(INDEX('All Devices (Master)'!$H:$H,$K27)=0,"",INDEX('All Devices (Master)'!$H:$H,$K27)))</f>
        <v/>
      </c>
      <c r="G27" s="26" t="str">
        <f aca="false">IF($K27="","",IF(INDEX('All Devices (Master)'!$I:$I,$K27)=0,"",INDEX('All Devices (Master)'!$I:$I,$K27)))</f>
        <v/>
      </c>
      <c r="H27" s="26" t="str">
        <f aca="false">IF($K27="","",IF(INDEX('All Devices (Master)'!$J:$J,$K27)=0,"",INDEX('All Devices (Master)'!$J:$J,$K27)))</f>
        <v/>
      </c>
      <c r="I27" s="26" t="str">
        <f aca="false">IF($K27="","",INDEX('All Devices (Master)'!$V:$V,$K27))</f>
        <v/>
      </c>
      <c r="K27" s="1" t="str">
        <f aca="false">IFERROR(MATCH("D3-"&amp;25,'All Devices (Master)'!$U:$U,0),"")</f>
        <v/>
      </c>
    </row>
  </sheetData>
  <autoFilter ref="A2:I27"/>
  <mergeCells count="1">
    <mergeCell ref="A1:I1"/>
  </mergeCells>
  <conditionalFormatting sqref="I3:I27">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1" t="s">
        <v>458</v>
      </c>
      <c r="B1" s="41"/>
      <c r="C1" s="41"/>
      <c r="D1" s="41"/>
      <c r="E1" s="41"/>
      <c r="F1" s="41"/>
      <c r="G1" s="41"/>
      <c r="H1" s="41"/>
      <c r="I1" s="41"/>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Embuldeniya</v>
      </c>
      <c r="D3" s="26" t="str">
        <f aca="false">IF($K3="","",INDEX('All Devices (Master)'!$F:$F,$K3))</f>
        <v>006141600002</v>
      </c>
      <c r="E3" s="26" t="str">
        <f aca="false">IF($K3="","",INDEX('All Devices (Master)'!$G:$G,$K3))</f>
        <v>Working</v>
      </c>
      <c r="F3" s="26" t="str">
        <f aca="false">IF($K3="","",IF(INDEX('All Devices (Master)'!$H:$H,$K3)=0,"",INDEX('All Devices (Master)'!$H:$H,$K3)))</f>
        <v/>
      </c>
      <c r="G3" s="26" t="str">
        <f aca="false">IF($K3="","",IF(INDEX('All Devices (Master)'!$I:$I,$K3)=0,"",INDEX('All Devices (Master)'!$I:$I,$K3)))</f>
        <v>Display is not clear</v>
      </c>
      <c r="H3" s="26" t="str">
        <f aca="false">IF($K3="","",IF(INDEX('All Devices (Master)'!$J:$J,$K3)=0,"",INDEX('All Devices (Master)'!$J:$J,$K3)))</f>
        <v>Black &amp; White</v>
      </c>
      <c r="I3" s="26" t="str">
        <f aca="false">IF($K3="","",INDEX('All Devices (Master)'!$V:$V,$K3))</f>
        <v/>
      </c>
      <c r="K3" s="1" t="n">
        <f aca="false">IFERROR(MATCH("D4-"&amp;1,'All Devices (Master)'!$U:$U,0),"")</f>
        <v>119</v>
      </c>
    </row>
    <row r="4" customFormat="false" ht="15" hidden="false" customHeight="true" outlineLevel="0" collapsed="false">
      <c r="A4" s="40" t="n">
        <f aca="false">IF($K4="","",2)</f>
        <v>2</v>
      </c>
      <c r="B4" s="32" t="str">
        <f aca="false">IF($K4="","",INDEX('All Devices (Master)'!$D:$D,$K4))</f>
        <v>X628</v>
      </c>
      <c r="C4" s="32" t="str">
        <f aca="false">IF($K4="","",INDEX('All Devices (Master)'!$E:$E,$K4))</f>
        <v>Maharagama 01</v>
      </c>
      <c r="D4" s="32" t="str">
        <f aca="false">IF($K4="","",INDEX('All Devices (Master)'!$F:$F,$K4))</f>
        <v>0060972240002</v>
      </c>
      <c r="E4" s="32" t="str">
        <f aca="false">IF($K4="","",INDEX('All Devices (Master)'!$G:$G,$K4))</f>
        <v>Working</v>
      </c>
      <c r="F4" s="32" t="str">
        <f aca="false">IF($K4="","",IF(INDEX('All Devices (Master)'!$H:$H,$K4)=0,"",INDEX('All Devices (Master)'!$H:$H,$K4)))</f>
        <v/>
      </c>
      <c r="G4" s="32" t="str">
        <f aca="false">IF($K4="","",IF(INDEX('All Devices (Master)'!$I:$I,$K4)=0,"",INDEX('All Devices (Master)'!$I:$I,$K4)))</f>
        <v>display is not clear </v>
      </c>
      <c r="H4" s="32" t="str">
        <f aca="false">IF($K4="","",IF(INDEX('All Devices (Master)'!$J:$J,$K4)=0,"",INDEX('All Devices (Master)'!$J:$J,$K4)))</f>
        <v>Black &amp; White</v>
      </c>
      <c r="I4" s="32" t="str">
        <f aca="false">IF($K4="","",INDEX('All Devices (Master)'!$V:$V,$K4))</f>
        <v/>
      </c>
      <c r="K4" s="1" t="n">
        <f aca="false">IFERROR(MATCH("D4-"&amp;2,'All Devices (Master)'!$U:$U,0),"")</f>
        <v>120</v>
      </c>
    </row>
    <row r="5" customFormat="false" ht="15" hidden="false" customHeight="true" outlineLevel="0" collapsed="false">
      <c r="A5" s="39" t="n">
        <f aca="false">IF($K5="","",3)</f>
        <v>3</v>
      </c>
      <c r="B5" s="26" t="str">
        <f aca="false">IF($K5="","",INDEX('All Devices (Master)'!$D:$D,$K5))</f>
        <v>X628</v>
      </c>
      <c r="C5" s="26" t="str">
        <f aca="false">IF($K5="","",INDEX('All Devices (Master)'!$E:$E,$K5))</f>
        <v>Kurunegala 03</v>
      </c>
      <c r="D5" s="26" t="str">
        <f aca="false">IF($K5="","",INDEX('All Devices (Master)'!$F:$F,$K5))</f>
        <v>A5SA182660003</v>
      </c>
      <c r="E5" s="26" t="str">
        <f aca="false">IF($K5="","",INDEX('All Devices (Master)'!$G:$G,$K5))</f>
        <v>Not Working</v>
      </c>
      <c r="F5" s="26" t="str">
        <f aca="false">IF($K5="","",IF(INDEX('All Devices (Master)'!$H:$H,$K5)=0,"",INDEX('All Devices (Master)'!$H:$H,$K5)))</f>
        <v>display is not working</v>
      </c>
      <c r="G5" s="26" t="str">
        <f aca="false">IF($K5="","",IF(INDEX('All Devices (Master)'!$I:$I,$K5)=0,"",INDEX('All Devices (Master)'!$I:$I,$K5)))</f>
        <v/>
      </c>
      <c r="H5" s="26" t="str">
        <f aca="false">IF($K5="","",IF(INDEX('All Devices (Master)'!$J:$J,$K5)=0,"",INDEX('All Devices (Master)'!$J:$J,$K5)))</f>
        <v>Black &amp; White</v>
      </c>
      <c r="I5" s="26" t="str">
        <f aca="false">IF($K5="","",INDEX('All Devices (Master)'!$V:$V,$K5))</f>
        <v/>
      </c>
      <c r="K5" s="1" t="n">
        <f aca="false">IFERROR(MATCH("D4-"&amp;3,'All Devices (Master)'!$U:$U,0),"")</f>
        <v>131</v>
      </c>
    </row>
    <row r="6" customFormat="false" ht="15" hidden="false" customHeight="true" outlineLevel="0" collapsed="false">
      <c r="A6" s="40" t="n">
        <f aca="false">IF($K6="","",4)</f>
        <v>4</v>
      </c>
      <c r="B6" s="32" t="str">
        <f aca="false">IF($K6="","",INDEX('All Devices (Master)'!$D:$D,$K6))</f>
        <v>X628</v>
      </c>
      <c r="C6" s="32" t="str">
        <f aca="false">IF($K6="","",INDEX('All Devices (Master)'!$E:$E,$K6))</f>
        <v>unknown</v>
      </c>
      <c r="D6" s="32" t="str">
        <f aca="false">IF($K6="","",INDEX('All Devices (Master)'!$F:$F,$K6))</f>
        <v>0060972240004</v>
      </c>
      <c r="E6" s="32" t="str">
        <f aca="false">IF($K6="","",INDEX('All Devices (Master)'!$G:$G,$K6))</f>
        <v>Working, Have to Repair</v>
      </c>
      <c r="F6" s="32" t="str">
        <f aca="false">IF($K6="","",IF(INDEX('All Devices (Master)'!$H:$H,$K6)=0,"",INDEX('All Devices (Master)'!$H:$H,$K6)))</f>
        <v/>
      </c>
      <c r="G6" s="32" t="str">
        <f aca="false">IF($K6="","",IF(INDEX('All Devices (Master)'!$I:$I,$K6)=0,"",INDEX('All Devices (Master)'!$I:$I,$K6)))</f>
        <v>display is broken </v>
      </c>
      <c r="H6" s="32" t="str">
        <f aca="false">IF($K6="","",IF(INDEX('All Devices (Master)'!$J:$J,$K6)=0,"",INDEX('All Devices (Master)'!$J:$J,$K6)))</f>
        <v>Black &amp; White</v>
      </c>
      <c r="I6" s="32" t="str">
        <f aca="false">IF($K6="","",INDEX('All Devices (Master)'!$V:$V,$K6))</f>
        <v/>
      </c>
      <c r="K6" s="1" t="n">
        <f aca="false">IFERROR(MATCH("D4-"&amp;4,'All Devices (Master)'!$U:$U,0),"")</f>
        <v>137</v>
      </c>
    </row>
    <row r="7" customFormat="false" ht="15" hidden="false" customHeight="true" outlineLevel="0" collapsed="false">
      <c r="A7" s="39" t="n">
        <f aca="false">IF($K7="","",5)</f>
        <v>5</v>
      </c>
      <c r="B7" s="26" t="str">
        <f aca="false">IF($K7="","",INDEX('All Devices (Master)'!$D:$D,$K7))</f>
        <v>X628</v>
      </c>
      <c r="C7" s="26" t="str">
        <f aca="false">IF($K7="","",INDEX('All Devices (Master)'!$E:$E,$K7))</f>
        <v>Beruwala</v>
      </c>
      <c r="D7" s="26" t="str">
        <f aca="false">IF($K7="","",INDEX('All Devices (Master)'!$F:$F,$K7))</f>
        <v>0060972240005</v>
      </c>
      <c r="E7" s="26" t="str">
        <f aca="false">IF($K7="","",INDEX('All Devices (Master)'!$G:$G,$K7))</f>
        <v>Working</v>
      </c>
      <c r="F7" s="26" t="str">
        <f aca="false">IF($K7="","",IF(INDEX('All Devices (Master)'!$H:$H,$K7)=0,"",INDEX('All Devices (Master)'!$H:$H,$K7)))</f>
        <v/>
      </c>
      <c r="G7" s="26" t="str">
        <f aca="false">IF($K7="","",IF(INDEX('All Devices (Master)'!$I:$I,$K7)=0,"",INDEX('All Devices (Master)'!$I:$I,$K7)))</f>
        <v>Display is not clear</v>
      </c>
      <c r="H7" s="26" t="str">
        <f aca="false">IF($K7="","",IF(INDEX('All Devices (Master)'!$J:$J,$K7)=0,"",INDEX('All Devices (Master)'!$J:$J,$K7)))</f>
        <v>Black &amp; White</v>
      </c>
      <c r="I7" s="26" t="str">
        <f aca="false">IF($K7="","",INDEX('All Devices (Master)'!$V:$V,$K7))</f>
        <v/>
      </c>
      <c r="K7" s="1" t="n">
        <f aca="false">IFERROR(MATCH("D4-"&amp;5,'All Devices (Master)'!$U:$U,0),"")</f>
        <v>143</v>
      </c>
    </row>
    <row r="8" customFormat="false" ht="15" hidden="false" customHeight="true" outlineLevel="0" collapsed="false">
      <c r="A8" s="40" t="n">
        <f aca="false">IF($K8="","",6)</f>
        <v>6</v>
      </c>
      <c r="B8" s="32" t="str">
        <f aca="false">IF($K8="","",INDEX('All Devices (Master)'!$D:$D,$K8))</f>
        <v>X628</v>
      </c>
      <c r="C8" s="32" t="str">
        <f aca="false">IF($K8="","",INDEX('All Devices (Master)'!$E:$E,$K8))</f>
        <v>Thibirigasyaya</v>
      </c>
      <c r="D8" s="32" t="str">
        <f aca="false">IF($K8="","",INDEX('All Devices (Master)'!$F:$F,$K8))</f>
        <v>6006170800002</v>
      </c>
      <c r="E8" s="32" t="str">
        <f aca="false">IF($K8="","",INDEX('All Devices (Master)'!$G:$G,$K8))</f>
        <v>Working</v>
      </c>
      <c r="F8" s="32" t="str">
        <f aca="false">IF($K8="","",IF(INDEX('All Devices (Master)'!$H:$H,$K8)=0,"",INDEX('All Devices (Master)'!$H:$H,$K8)))</f>
        <v/>
      </c>
      <c r="G8" s="32" t="str">
        <f aca="false">IF($K8="","",IF(INDEX('All Devices (Master)'!$I:$I,$K8)=0,"",INDEX('All Devices (Master)'!$I:$I,$K8)))</f>
        <v>display is little bit un clear</v>
      </c>
      <c r="H8" s="32" t="str">
        <f aca="false">IF($K8="","",IF(INDEX('All Devices (Master)'!$J:$J,$K8)=0,"",INDEX('All Devices (Master)'!$J:$J,$K8)))</f>
        <v>Black &amp; White</v>
      </c>
      <c r="I8" s="32" t="str">
        <f aca="false">IF($K8="","",INDEX('All Devices (Master)'!$V:$V,$K8))</f>
        <v/>
      </c>
      <c r="K8" s="1" t="n">
        <f aca="false">IFERROR(MATCH("D4-"&amp;6,'All Devices (Master)'!$U:$U,0),"")</f>
        <v>146</v>
      </c>
    </row>
    <row r="9" customFormat="false" ht="15" hidden="false" customHeight="true" outlineLevel="0" collapsed="false">
      <c r="A9" s="39" t="str">
        <f aca="false">IF($K9="","",7)</f>
        <v/>
      </c>
      <c r="B9" s="26" t="str">
        <f aca="false">IF($K9="","",INDEX('All Devices (Master)'!$D:$D,$K9))</f>
        <v/>
      </c>
      <c r="C9" s="26" t="str">
        <f aca="false">IF($K9="","",INDEX('All Devices (Master)'!$E:$E,$K9))</f>
        <v/>
      </c>
      <c r="D9" s="26" t="str">
        <f aca="false">IF($K9="","",INDEX('All Devices (Master)'!$F:$F,$K9))</f>
        <v/>
      </c>
      <c r="E9" s="26" t="str">
        <f aca="false">IF($K9="","",INDEX('All Devices (Master)'!$G:$G,$K9))</f>
        <v/>
      </c>
      <c r="F9" s="26" t="str">
        <f aca="false">IF($K9="","",IF(INDEX('All Devices (Master)'!$H:$H,$K9)=0,"",INDEX('All Devices (Master)'!$H:$H,$K9)))</f>
        <v/>
      </c>
      <c r="G9" s="26" t="str">
        <f aca="false">IF($K9="","",IF(INDEX('All Devices (Master)'!$I:$I,$K9)=0,"",INDEX('All Devices (Master)'!$I:$I,$K9)))</f>
        <v/>
      </c>
      <c r="H9" s="26" t="str">
        <f aca="false">IF($K9="","",IF(INDEX('All Devices (Master)'!$J:$J,$K9)=0,"",INDEX('All Devices (Master)'!$J:$J,$K9)))</f>
        <v/>
      </c>
      <c r="I9" s="26" t="str">
        <f aca="false">IF($K9="","",INDEX('All Devices (Master)'!$V:$V,$K9))</f>
        <v/>
      </c>
      <c r="K9" s="1" t="str">
        <f aca="false">IFERROR(MATCH("D4-"&amp;7,'All Devices (Master)'!$U:$U,0),"")</f>
        <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IFERROR(MATCH("D4-"&amp;8,'All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IFERROR(MATCH("D4-"&amp;9,'All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IFERROR(MATCH("D4-"&amp;10,'All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IFERROR(MATCH("D4-"&amp;11,'All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IFERROR(MATCH("D4-"&amp;12,'All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IFERROR(MATCH("D4-"&amp;13,'All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IFERROR(MATCH("D4-"&amp;14,'All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IFERROR(MATCH("D4-"&amp;15,'All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IFERROR(MATCH("D4-"&amp;16,'All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IFERROR(MATCH("D4-"&amp;17,'All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IFERROR(MATCH("D4-"&amp;18,'All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IFERROR(MATCH("D4-"&amp;19,'All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IFERROR(MATCH("D4-"&amp;20,'All Devices (Master)'!$U:$U,0),"")</f>
        <v/>
      </c>
    </row>
    <row r="23" customFormat="false" ht="15" hidden="false" customHeight="true" outlineLevel="0" collapsed="false">
      <c r="A23" s="39" t="str">
        <f aca="false">IF($K23="","",21)</f>
        <v/>
      </c>
      <c r="B23" s="26" t="str">
        <f aca="false">IF($K23="","",INDEX('All Devices (Master)'!$D:$D,$K23))</f>
        <v/>
      </c>
      <c r="C23" s="26" t="str">
        <f aca="false">IF($K23="","",INDEX('All Devices (Master)'!$E:$E,$K23))</f>
        <v/>
      </c>
      <c r="D23" s="26" t="str">
        <f aca="false">IF($K23="","",INDEX('All Devices (Master)'!$F:$F,$K23))</f>
        <v/>
      </c>
      <c r="E23" s="26" t="str">
        <f aca="false">IF($K23="","",INDEX('All Devices (Master)'!$G:$G,$K23))</f>
        <v/>
      </c>
      <c r="F23" s="26" t="str">
        <f aca="false">IF($K23="","",IF(INDEX('All Devices (Master)'!$H:$H,$K23)=0,"",INDEX('All Devices (Master)'!$H:$H,$K23)))</f>
        <v/>
      </c>
      <c r="G23" s="26" t="str">
        <f aca="false">IF($K23="","",IF(INDEX('All Devices (Master)'!$I:$I,$K23)=0,"",INDEX('All Devices (Master)'!$I:$I,$K23)))</f>
        <v/>
      </c>
      <c r="H23" s="26" t="str">
        <f aca="false">IF($K23="","",IF(INDEX('All Devices (Master)'!$J:$J,$K23)=0,"",INDEX('All Devices (Master)'!$J:$J,$K23)))</f>
        <v/>
      </c>
      <c r="I23" s="26" t="str">
        <f aca="false">IF($K23="","",INDEX('All Devices (Master)'!$V:$V,$K23))</f>
        <v/>
      </c>
      <c r="K23" s="1" t="str">
        <f aca="false">IFERROR(MATCH("D4-"&amp;21,'All Devices (Master)'!$U:$U,0),"")</f>
        <v/>
      </c>
    </row>
    <row r="24" customFormat="false" ht="15" hidden="false" customHeight="true" outlineLevel="0" collapsed="false">
      <c r="A24" s="40" t="str">
        <f aca="false">IF($K24="","",22)</f>
        <v/>
      </c>
      <c r="B24" s="32" t="str">
        <f aca="false">IF($K24="","",INDEX('All Devices (Master)'!$D:$D,$K24))</f>
        <v/>
      </c>
      <c r="C24" s="32" t="str">
        <f aca="false">IF($K24="","",INDEX('All Devices (Master)'!$E:$E,$K24))</f>
        <v/>
      </c>
      <c r="D24" s="32" t="str">
        <f aca="false">IF($K24="","",INDEX('All Devices (Master)'!$F:$F,$K24))</f>
        <v/>
      </c>
      <c r="E24" s="32" t="str">
        <f aca="false">IF($K24="","",INDEX('All Devices (Master)'!$G:$G,$K24))</f>
        <v/>
      </c>
      <c r="F24" s="32" t="str">
        <f aca="false">IF($K24="","",IF(INDEX('All Devices (Master)'!$H:$H,$K24)=0,"",INDEX('All Devices (Master)'!$H:$H,$K24)))</f>
        <v/>
      </c>
      <c r="G24" s="32" t="str">
        <f aca="false">IF($K24="","",IF(INDEX('All Devices (Master)'!$I:$I,$K24)=0,"",INDEX('All Devices (Master)'!$I:$I,$K24)))</f>
        <v/>
      </c>
      <c r="H24" s="32" t="str">
        <f aca="false">IF($K24="","",IF(INDEX('All Devices (Master)'!$J:$J,$K24)=0,"",INDEX('All Devices (Master)'!$J:$J,$K24)))</f>
        <v/>
      </c>
      <c r="I24" s="32" t="str">
        <f aca="false">IF($K24="","",INDEX('All Devices (Master)'!$V:$V,$K24))</f>
        <v/>
      </c>
      <c r="K24" s="1" t="str">
        <f aca="false">IFERROR(MATCH("D4-"&amp;22,'All Devices (Master)'!$U:$U,0),"")</f>
        <v/>
      </c>
    </row>
    <row r="25" customFormat="false" ht="15" hidden="false" customHeight="true" outlineLevel="0" collapsed="false">
      <c r="A25" s="39" t="str">
        <f aca="false">IF($K25="","",23)</f>
        <v/>
      </c>
      <c r="B25" s="26" t="str">
        <f aca="false">IF($K25="","",INDEX('All Devices (Master)'!$D:$D,$K25))</f>
        <v/>
      </c>
      <c r="C25" s="26" t="str">
        <f aca="false">IF($K25="","",INDEX('All Devices (Master)'!$E:$E,$K25))</f>
        <v/>
      </c>
      <c r="D25" s="26" t="str">
        <f aca="false">IF($K25="","",INDEX('All Devices (Master)'!$F:$F,$K25))</f>
        <v/>
      </c>
      <c r="E25" s="26" t="str">
        <f aca="false">IF($K25="","",INDEX('All Devices (Master)'!$G:$G,$K25))</f>
        <v/>
      </c>
      <c r="F25" s="26" t="str">
        <f aca="false">IF($K25="","",IF(INDEX('All Devices (Master)'!$H:$H,$K25)=0,"",INDEX('All Devices (Master)'!$H:$H,$K25)))</f>
        <v/>
      </c>
      <c r="G25" s="26" t="str">
        <f aca="false">IF($K25="","",IF(INDEX('All Devices (Master)'!$I:$I,$K25)=0,"",INDEX('All Devices (Master)'!$I:$I,$K25)))</f>
        <v/>
      </c>
      <c r="H25" s="26" t="str">
        <f aca="false">IF($K25="","",IF(INDEX('All Devices (Master)'!$J:$J,$K25)=0,"",INDEX('All Devices (Master)'!$J:$J,$K25)))</f>
        <v/>
      </c>
      <c r="I25" s="26" t="str">
        <f aca="false">IF($K25="","",INDEX('All Devices (Master)'!$V:$V,$K25))</f>
        <v/>
      </c>
      <c r="K25" s="1" t="str">
        <f aca="false">IFERROR(MATCH("D4-"&amp;23,'All Devices (Master)'!$U:$U,0),"")</f>
        <v/>
      </c>
    </row>
    <row r="26" customFormat="false" ht="15" hidden="false" customHeight="true" outlineLevel="0" collapsed="false">
      <c r="A26" s="40" t="str">
        <f aca="false">IF($K26="","",24)</f>
        <v/>
      </c>
      <c r="B26" s="32" t="str">
        <f aca="false">IF($K26="","",INDEX('All Devices (Master)'!$D:$D,$K26))</f>
        <v/>
      </c>
      <c r="C26" s="32" t="str">
        <f aca="false">IF($K26="","",INDEX('All Devices (Master)'!$E:$E,$K26))</f>
        <v/>
      </c>
      <c r="D26" s="32" t="str">
        <f aca="false">IF($K26="","",INDEX('All Devices (Master)'!$F:$F,$K26))</f>
        <v/>
      </c>
      <c r="E26" s="32" t="str">
        <f aca="false">IF($K26="","",INDEX('All Devices (Master)'!$G:$G,$K26))</f>
        <v/>
      </c>
      <c r="F26" s="32" t="str">
        <f aca="false">IF($K26="","",IF(INDEX('All Devices (Master)'!$H:$H,$K26)=0,"",INDEX('All Devices (Master)'!$H:$H,$K26)))</f>
        <v/>
      </c>
      <c r="G26" s="32" t="str">
        <f aca="false">IF($K26="","",IF(INDEX('All Devices (Master)'!$I:$I,$K26)=0,"",INDEX('All Devices (Master)'!$I:$I,$K26)))</f>
        <v/>
      </c>
      <c r="H26" s="32" t="str">
        <f aca="false">IF($K26="","",IF(INDEX('All Devices (Master)'!$J:$J,$K26)=0,"",INDEX('All Devices (Master)'!$J:$J,$K26)))</f>
        <v/>
      </c>
      <c r="I26" s="32" t="str">
        <f aca="false">IF($K26="","",INDEX('All Devices (Master)'!$V:$V,$K26))</f>
        <v/>
      </c>
      <c r="K26" s="1" t="str">
        <f aca="false">IFERROR(MATCH("D4-"&amp;24,'All Devices (Master)'!$U:$U,0),"")</f>
        <v/>
      </c>
    </row>
    <row r="27" customFormat="false" ht="15" hidden="false" customHeight="true" outlineLevel="0" collapsed="false">
      <c r="A27" s="39" t="str">
        <f aca="false">IF($K27="","",25)</f>
        <v/>
      </c>
      <c r="B27" s="26" t="str">
        <f aca="false">IF($K27="","",INDEX('All Devices (Master)'!$D:$D,$K27))</f>
        <v/>
      </c>
      <c r="C27" s="26" t="str">
        <f aca="false">IF($K27="","",INDEX('All Devices (Master)'!$E:$E,$K27))</f>
        <v/>
      </c>
      <c r="D27" s="26" t="str">
        <f aca="false">IF($K27="","",INDEX('All Devices (Master)'!$F:$F,$K27))</f>
        <v/>
      </c>
      <c r="E27" s="26" t="str">
        <f aca="false">IF($K27="","",INDEX('All Devices (Master)'!$G:$G,$K27))</f>
        <v/>
      </c>
      <c r="F27" s="26" t="str">
        <f aca="false">IF($K27="","",IF(INDEX('All Devices (Master)'!$H:$H,$K27)=0,"",INDEX('All Devices (Master)'!$H:$H,$K27)))</f>
        <v/>
      </c>
      <c r="G27" s="26" t="str">
        <f aca="false">IF($K27="","",IF(INDEX('All Devices (Master)'!$I:$I,$K27)=0,"",INDEX('All Devices (Master)'!$I:$I,$K27)))</f>
        <v/>
      </c>
      <c r="H27" s="26" t="str">
        <f aca="false">IF($K27="","",IF(INDEX('All Devices (Master)'!$J:$J,$K27)=0,"",INDEX('All Devices (Master)'!$J:$J,$K27)))</f>
        <v/>
      </c>
      <c r="I27" s="26" t="str">
        <f aca="false">IF($K27="","",INDEX('All Devices (Master)'!$V:$V,$K27))</f>
        <v/>
      </c>
      <c r="K27" s="1" t="str">
        <f aca="false">IFERROR(MATCH("D4-"&amp;25,'All Devices (Master)'!$U:$U,0),"")</f>
        <v/>
      </c>
    </row>
  </sheetData>
  <autoFilter ref="A2:I27"/>
  <mergeCells count="1">
    <mergeCell ref="A1:I1"/>
  </mergeCells>
  <conditionalFormatting sqref="I3:I27">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2" t="s">
        <v>459</v>
      </c>
      <c r="B1" s="42"/>
      <c r="C1" s="42"/>
      <c r="D1" s="42"/>
      <c r="E1" s="42"/>
      <c r="F1" s="42"/>
      <c r="G1" s="42"/>
      <c r="H1" s="42"/>
      <c r="I1" s="42"/>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Chillaw</v>
      </c>
      <c r="D3" s="26" t="str">
        <f aca="false">IF($K3="","",INDEX('All Devices (Master)'!$F:$F,$K3))</f>
        <v>5128193500007</v>
      </c>
      <c r="E3" s="26" t="str">
        <f aca="false">IF($K3="","",INDEX('All Devices (Master)'!$G:$G,$K3))</f>
        <v>Working, Have to Repair</v>
      </c>
      <c r="F3" s="26" t="str">
        <f aca="false">IF($K3="","",IF(INDEX('All Devices (Master)'!$H:$H,$K3)=0,"",INDEX('All Devices (Master)'!$H:$H,$K3)))</f>
        <v>No sensor and also have power issue some time device is off automatically</v>
      </c>
      <c r="G3" s="26" t="str">
        <f aca="false">IF($K3="","",IF(INDEX('All Devices (Master)'!$I:$I,$K3)=0,"",INDEX('All Devices (Master)'!$I:$I,$K3)))</f>
        <v/>
      </c>
      <c r="H3" s="26" t="str">
        <f aca="false">IF($K3="","",IF(INDEX('All Devices (Master)'!$J:$J,$K3)=0,"",INDEX('All Devices (Master)'!$J:$J,$K3)))</f>
        <v>Colour</v>
      </c>
      <c r="I3" s="26" t="str">
        <f aca="false">IF($K3="","",INDEX('All Devices (Master)'!$V:$V,$K3))</f>
        <v>Multiple fault types detected - review full details before repair</v>
      </c>
      <c r="K3" s="1" t="n">
        <f aca="false">IFERROR(MATCH("S1-"&amp;1,'All Devices (Master)'!$U:$U,0),"")</f>
        <v>13</v>
      </c>
    </row>
    <row r="4" customFormat="false" ht="15" hidden="false" customHeight="true" outlineLevel="0" collapsed="false">
      <c r="A4" s="40" t="n">
        <f aca="false">IF($K4="","",2)</f>
        <v>2</v>
      </c>
      <c r="B4" s="32" t="str">
        <f aca="false">IF($K4="","",INDEX('All Devices (Master)'!$D:$D,$K4))</f>
        <v>X628</v>
      </c>
      <c r="C4" s="32" t="str">
        <f aca="false">IF($K4="","",INDEX('All Devices (Master)'!$E:$E,$K4))</f>
        <v>Rathmalana</v>
      </c>
      <c r="D4" s="32" t="str">
        <f aca="false">IF($K4="","",INDEX('All Devices (Master)'!$F:$F,$K4))</f>
        <v>6006154200001</v>
      </c>
      <c r="E4" s="32" t="str">
        <f aca="false">IF($K4="","",INDEX('All Devices (Master)'!$G:$G,$K4))</f>
        <v>Working, Have to Repair</v>
      </c>
      <c r="F4" s="32" t="str">
        <f aca="false">IF($K4="","",IF(INDEX('All Devices (Master)'!$H:$H,$K4)=0,"",INDEX('All Devices (Master)'!$H:$H,$K4)))</f>
        <v>Display  have to replace and sensor board have issue some time </v>
      </c>
      <c r="G4" s="32" t="str">
        <f aca="false">IF($K4="","",IF(INDEX('All Devices (Master)'!$I:$I,$K4)=0,"",INDEX('All Devices (Master)'!$I:$I,$K4)))</f>
        <v/>
      </c>
      <c r="H4" s="32" t="str">
        <f aca="false">IF($K4="","",IF(INDEX('All Devices (Master)'!$J:$J,$K4)=0,"",INDEX('All Devices (Master)'!$J:$J,$K4)))</f>
        <v>Black &amp; White</v>
      </c>
      <c r="I4" s="32" t="str">
        <f aca="false">IF($K4="","",INDEX('All Devices (Master)'!$V:$V,$K4))</f>
        <v>Multiple fault types detected - review full details before repair</v>
      </c>
      <c r="K4" s="1" t="n">
        <f aca="false">IFERROR(MATCH("S1-"&amp;2,'All Devices (Master)'!$U:$U,0),"")</f>
        <v>22</v>
      </c>
    </row>
    <row r="5" customFormat="false" ht="15" hidden="false" customHeight="true" outlineLevel="0" collapsed="false">
      <c r="A5" s="39" t="n">
        <f aca="false">IF($K5="","",3)</f>
        <v>3</v>
      </c>
      <c r="B5" s="26" t="str">
        <f aca="false">IF($K5="","",INDEX('All Devices (Master)'!$D:$D,$K5))</f>
        <v>X628</v>
      </c>
      <c r="C5" s="26" t="str">
        <f aca="false">IF($K5="","",INDEX('All Devices (Master)'!$E:$E,$K5))</f>
        <v>Kappetipola</v>
      </c>
      <c r="D5" s="26" t="str">
        <f aca="false">IF($K5="","",INDEX('All Devices (Master)'!$F:$F,$K5))</f>
        <v>CDQ9224660008</v>
      </c>
      <c r="E5" s="26" t="str">
        <f aca="false">IF($K5="","",INDEX('All Devices (Master)'!$G:$G,$K5))</f>
        <v> Working, Have to Repair</v>
      </c>
      <c r="F5" s="26" t="str">
        <f aca="false">IF($K5="","",IF(INDEX('All Devices (Master)'!$H:$H,$K5)=0,"",INDEX('All Devices (Master)'!$H:$H,$K5)))</f>
        <v>No Sensor</v>
      </c>
      <c r="G5" s="26" t="str">
        <f aca="false">IF($K5="","",IF(INDEX('All Devices (Master)'!$I:$I,$K5)=0,"",INDEX('All Devices (Master)'!$I:$I,$K5)))</f>
        <v/>
      </c>
      <c r="H5" s="26" t="str">
        <f aca="false">IF($K5="","",IF(INDEX('All Devices (Master)'!$J:$J,$K5)=0,"",INDEX('All Devices (Master)'!$J:$J,$K5)))</f>
        <v>Colour</v>
      </c>
      <c r="I5" s="26" t="str">
        <f aca="false">IF($K5="","",INDEX('All Devices (Master)'!$V:$V,$K5))</f>
        <v/>
      </c>
      <c r="K5" s="1" t="n">
        <f aca="false">IFERROR(MATCH("S1-"&amp;3,'All Devices (Master)'!$U:$U,0),"")</f>
        <v>24</v>
      </c>
    </row>
    <row r="6" customFormat="false" ht="15" hidden="false" customHeight="true" outlineLevel="0" collapsed="false">
      <c r="A6" s="40" t="n">
        <f aca="false">IF($K6="","",4)</f>
        <v>4</v>
      </c>
      <c r="B6" s="32" t="str">
        <f aca="false">IF($K6="","",INDEX('All Devices (Master)'!$D:$D,$K6))</f>
        <v>X628-C</v>
      </c>
      <c r="C6" s="32" t="str">
        <f aca="false">IF($K6="","",INDEX('All Devices (Master)'!$E:$E,$K6))</f>
        <v>Kesbewa 02</v>
      </c>
      <c r="D6" s="32" t="str">
        <f aca="false">IF($K6="","",INDEX('All Devices (Master)'!$F:$F,$K6))</f>
        <v>6006165100002</v>
      </c>
      <c r="E6" s="32" t="str">
        <f aca="false">IF($K6="","",INDEX('All Devices (Master)'!$G:$G,$K6))</f>
        <v>Working, Have to Repair</v>
      </c>
      <c r="F6" s="32" t="str">
        <f aca="false">IF($K6="","",IF(INDEX('All Devices (Master)'!$H:$H,$K6)=0,"",INDEX('All Devices (Master)'!$H:$H,$K6)))</f>
        <v>Sensor is not working </v>
      </c>
      <c r="G6" s="32" t="str">
        <f aca="false">IF($K6="","",IF(INDEX('All Devices (Master)'!$I:$I,$K6)=0,"",INDEX('All Devices (Master)'!$I:$I,$K6)))</f>
        <v/>
      </c>
      <c r="H6" s="32" t="str">
        <f aca="false">IF($K6="","",IF(INDEX('All Devices (Master)'!$J:$J,$K6)=0,"",INDEX('All Devices (Master)'!$J:$J,$K6)))</f>
        <v>Colour</v>
      </c>
      <c r="I6" s="32" t="str">
        <f aca="false">IF($K6="","",INDEX('All Devices (Master)'!$V:$V,$K6))</f>
        <v>Duplicate Serial No - verify device identity</v>
      </c>
      <c r="K6" s="1" t="n">
        <f aca="false">IFERROR(MATCH("S1-"&amp;4,'All Devices (Master)'!$U:$U,0),"")</f>
        <v>27</v>
      </c>
    </row>
    <row r="7" customFormat="false" ht="15" hidden="false" customHeight="true" outlineLevel="0" collapsed="false">
      <c r="A7" s="39" t="n">
        <f aca="false">IF($K7="","",5)</f>
        <v>5</v>
      </c>
      <c r="B7" s="26" t="str">
        <f aca="false">IF($K7="","",INDEX('All Devices (Master)'!$D:$D,$K7))</f>
        <v>X628-C</v>
      </c>
      <c r="C7" s="26" t="str">
        <f aca="false">IF($K7="","",INDEX('All Devices (Master)'!$E:$E,$K7))</f>
        <v>Seeduwa</v>
      </c>
      <c r="D7" s="26" t="str">
        <f aca="false">IF($K7="","",INDEX('All Devices (Master)'!$F:$F,$K7))</f>
        <v>CDQ9193960103</v>
      </c>
      <c r="E7" s="26" t="str">
        <f aca="false">IF($K7="","",INDEX('All Devices (Master)'!$G:$G,$K7))</f>
        <v>Working, Have to Repair</v>
      </c>
      <c r="F7" s="26" t="str">
        <f aca="false">IF($K7="","",IF(INDEX('All Devices (Master)'!$H:$H,$K7)=0,"",INDEX('All Devices (Master)'!$H:$H,$K7)))</f>
        <v>Sensor is not working and also have power issue some times</v>
      </c>
      <c r="G7" s="26" t="str">
        <f aca="false">IF($K7="","",IF(INDEX('All Devices (Master)'!$I:$I,$K7)=0,"",INDEX('All Devices (Master)'!$I:$I,$K7)))</f>
        <v/>
      </c>
      <c r="H7" s="26" t="str">
        <f aca="false">IF($K7="","",IF(INDEX('All Devices (Master)'!$J:$J,$K7)=0,"",INDEX('All Devices (Master)'!$J:$J,$K7)))</f>
        <v>Colour</v>
      </c>
      <c r="I7" s="26" t="str">
        <f aca="false">IF($K7="","",INDEX('All Devices (Master)'!$V:$V,$K7))</f>
        <v>Multiple fault types detected - review full details before repair</v>
      </c>
      <c r="K7" s="1" t="n">
        <f aca="false">IFERROR(MATCH("S1-"&amp;5,'All Devices (Master)'!$U:$U,0),"")</f>
        <v>29</v>
      </c>
    </row>
    <row r="8" customFormat="false" ht="15" hidden="false" customHeight="true" outlineLevel="0" collapsed="false">
      <c r="A8" s="40" t="n">
        <f aca="false">IF($K8="","",6)</f>
        <v>6</v>
      </c>
      <c r="B8" s="32" t="str">
        <f aca="false">IF($K8="","",INDEX('All Devices (Master)'!$D:$D,$K8))</f>
        <v>X628-C</v>
      </c>
      <c r="C8" s="32" t="str">
        <f aca="false">IF($K8="","",INDEX('All Devices (Master)'!$E:$E,$K8))</f>
        <v>Pallekele</v>
      </c>
      <c r="D8" s="32" t="str">
        <f aca="false">IF($K8="","",INDEX('All Devices (Master)'!$F:$F,$K8))</f>
        <v>AEG8244700002</v>
      </c>
      <c r="E8" s="32" t="str">
        <f aca="false">IF($K8="","",INDEX('All Devices (Master)'!$G:$G,$K8))</f>
        <v>Working, Have to Repair</v>
      </c>
      <c r="F8" s="32" t="str">
        <f aca="false">IF($K8="","",IF(INDEX('All Devices (Master)'!$H:$H,$K8)=0,"",INDEX('All Devices (Master)'!$H:$H,$K8)))</f>
        <v>No sensor and also have power issue some time device is off automatically </v>
      </c>
      <c r="G8" s="32" t="str">
        <f aca="false">IF($K8="","",IF(INDEX('All Devices (Master)'!$I:$I,$K8)=0,"",INDEX('All Devices (Master)'!$I:$I,$K8)))</f>
        <v/>
      </c>
      <c r="H8" s="32" t="str">
        <f aca="false">IF($K8="","",IF(INDEX('All Devices (Master)'!$J:$J,$K8)=0,"",INDEX('All Devices (Master)'!$J:$J,$K8)))</f>
        <v>Colour</v>
      </c>
      <c r="I8" s="32" t="str">
        <f aca="false">IF($K8="","",INDEX('All Devices (Master)'!$V:$V,$K8))</f>
        <v>Multiple fault types detected - review full details before repair</v>
      </c>
      <c r="K8" s="1" t="n">
        <f aca="false">IFERROR(MATCH("S1-"&amp;6,'All Devices (Master)'!$U:$U,0),"")</f>
        <v>32</v>
      </c>
    </row>
    <row r="9" customFormat="false" ht="15" hidden="false" customHeight="true" outlineLevel="0" collapsed="false">
      <c r="A9" s="39" t="n">
        <f aca="false">IF($K9="","",7)</f>
        <v>7</v>
      </c>
      <c r="B9" s="26" t="str">
        <f aca="false">IF($K9="","",INDEX('All Devices (Master)'!$D:$D,$K9))</f>
        <v>X628-C</v>
      </c>
      <c r="C9" s="26" t="str">
        <f aca="false">IF($K9="","",INDEX('All Devices (Master)'!$E:$E,$K9))</f>
        <v>Thangalle</v>
      </c>
      <c r="D9" s="26" t="str">
        <f aca="false">IF($K9="","",INDEX('All Devices (Master)'!$F:$F,$K9))</f>
        <v>CDQ9193960101</v>
      </c>
      <c r="E9" s="26" t="str">
        <f aca="false">IF($K9="","",INDEX('All Devices (Master)'!$G:$G,$K9))</f>
        <v>Working, Have to Repair</v>
      </c>
      <c r="F9" s="26" t="str">
        <f aca="false">IF($K9="","",IF(INDEX('All Devices (Master)'!$H:$H,$K9)=0,"",INDEX('All Devices (Master)'!$H:$H,$K9)))</f>
        <v>Sensor is not working </v>
      </c>
      <c r="G9" s="26" t="str">
        <f aca="false">IF($K9="","",IF(INDEX('All Devices (Master)'!$I:$I,$K9)=0,"",INDEX('All Devices (Master)'!$I:$I,$K9)))</f>
        <v/>
      </c>
      <c r="H9" s="26" t="str">
        <f aca="false">IF($K9="","",IF(INDEX('All Devices (Master)'!$J:$J,$K9)=0,"",INDEX('All Devices (Master)'!$J:$J,$K9)))</f>
        <v>Colour</v>
      </c>
      <c r="I9" s="26" t="str">
        <f aca="false">IF($K9="","",INDEX('All Devices (Master)'!$V:$V,$K9))</f>
        <v/>
      </c>
      <c r="K9" s="1" t="n">
        <f aca="false">IFERROR(MATCH("S1-"&amp;7,'All Devices (Master)'!$U:$U,0),"")</f>
        <v>34</v>
      </c>
    </row>
    <row r="10" customFormat="false" ht="15" hidden="false" customHeight="true" outlineLevel="0" collapsed="false">
      <c r="A10" s="40" t="n">
        <f aca="false">IF($K10="","",8)</f>
        <v>8</v>
      </c>
      <c r="B10" s="32" t="str">
        <f aca="false">IF($K10="","",INDEX('All Devices (Master)'!$D:$D,$K10))</f>
        <v>TX628</v>
      </c>
      <c r="C10" s="32" t="str">
        <f aca="false">IF($K10="","",INDEX('All Devices (Master)'!$E:$E,$K10))</f>
        <v>Mathara Boardway</v>
      </c>
      <c r="D10" s="32" t="str">
        <f aca="false">IF($K10="","",INDEX('All Devices (Master)'!$F:$F,$K10))</f>
        <v>65653040004</v>
      </c>
      <c r="E10" s="32" t="str">
        <f aca="false">IF($K10="","",INDEX('All Devices (Master)'!$G:$G,$K10))</f>
        <v>Working, Have to Repair</v>
      </c>
      <c r="F10" s="32" t="str">
        <f aca="false">IF($K10="","",IF(INDEX('All Devices (Master)'!$H:$H,$K10)=0,"",INDEX('All Devices (Master)'!$H:$H,$K10)))</f>
        <v>No sensor and also have power issue some time device is off automatically </v>
      </c>
      <c r="G10" s="32" t="str">
        <f aca="false">IF($K10="","",IF(INDEX('All Devices (Master)'!$I:$I,$K10)=0,"",INDEX('All Devices (Master)'!$I:$I,$K10)))</f>
        <v/>
      </c>
      <c r="H10" s="32" t="str">
        <f aca="false">IF($K10="","",IF(INDEX('All Devices (Master)'!$J:$J,$K10)=0,"",INDEX('All Devices (Master)'!$J:$J,$K10)))</f>
        <v>Colour</v>
      </c>
      <c r="I10" s="32" t="str">
        <f aca="false">IF($K10="","",INDEX('All Devices (Master)'!$V:$V,$K10))</f>
        <v>Multiple fault types detected - review full details before repair</v>
      </c>
      <c r="K10" s="1" t="n">
        <f aca="false">IFERROR(MATCH("S1-"&amp;8,'All Devices (Master)'!$U:$U,0),"")</f>
        <v>37</v>
      </c>
    </row>
    <row r="11" customFormat="false" ht="15" hidden="false" customHeight="true" outlineLevel="0" collapsed="false">
      <c r="A11" s="39" t="n">
        <f aca="false">IF($K11="","",9)</f>
        <v>9</v>
      </c>
      <c r="B11" s="26" t="str">
        <f aca="false">IF($K11="","",INDEX('All Devices (Master)'!$D:$D,$K11))</f>
        <v>X628-C</v>
      </c>
      <c r="C11" s="26" t="str">
        <f aca="false">IF($K11="","",INDEX('All Devices (Master)'!$E:$E,$K11))</f>
        <v>Dehiwala</v>
      </c>
      <c r="D11" s="26" t="str">
        <f aca="false">IF($K11="","",INDEX('All Devices (Master)'!$F:$F,$K11))</f>
        <v>CDQ9191460007</v>
      </c>
      <c r="E11" s="26" t="str">
        <f aca="false">IF($K11="","",INDEX('All Devices (Master)'!$G:$G,$K11))</f>
        <v>Working, Have to Repair</v>
      </c>
      <c r="F11" s="26" t="str">
        <f aca="false">IF($K11="","",IF(INDEX('All Devices (Master)'!$H:$H,$K11)=0,"",INDEX('All Devices (Master)'!$H:$H,$K11)))</f>
        <v>No sensor and also have power issue some time device is off automatically </v>
      </c>
      <c r="G11" s="26" t="str">
        <f aca="false">IF($K11="","",IF(INDEX('All Devices (Master)'!$I:$I,$K11)=0,"",INDEX('All Devices (Master)'!$I:$I,$K11)))</f>
        <v/>
      </c>
      <c r="H11" s="26" t="str">
        <f aca="false">IF($K11="","",IF(INDEX('All Devices (Master)'!$J:$J,$K11)=0,"",INDEX('All Devices (Master)'!$J:$J,$K11)))</f>
        <v>Colour</v>
      </c>
      <c r="I11" s="26" t="str">
        <f aca="false">IF($K11="","",INDEX('All Devices (Master)'!$V:$V,$K11))</f>
        <v>Multiple fault types detected - review full details before repair</v>
      </c>
      <c r="K11" s="1" t="n">
        <f aca="false">IFERROR(MATCH("S1-"&amp;9,'All Devices (Master)'!$U:$U,0),"")</f>
        <v>40</v>
      </c>
    </row>
    <row r="12" customFormat="false" ht="15" hidden="false" customHeight="true" outlineLevel="0" collapsed="false">
      <c r="A12" s="40" t="n">
        <f aca="false">IF($K12="","",10)</f>
        <v>10</v>
      </c>
      <c r="B12" s="32" t="str">
        <f aca="false">IF($K12="","",INDEX('All Devices (Master)'!$D:$D,$K12))</f>
        <v>X628</v>
      </c>
      <c r="C12" s="32" t="str">
        <f aca="false">IF($K12="","",INDEX('All Devices (Master)'!$E:$E,$K12))</f>
        <v>Kaluthara</v>
      </c>
      <c r="D12" s="32" t="str">
        <f aca="false">IF($K12="","",INDEX('All Devices (Master)'!$F:$F,$K12))</f>
        <v>6006170800001</v>
      </c>
      <c r="E12" s="32" t="str">
        <f aca="false">IF($K12="","",INDEX('All Devices (Master)'!$G:$G,$K12))</f>
        <v>Working, Have to Repair</v>
      </c>
      <c r="F12" s="32" t="str">
        <f aca="false">IF($K12="","",IF(INDEX('All Devices (Master)'!$H:$H,$K12)=0,"",INDEX('All Devices (Master)'!$H:$H,$K12)))</f>
        <v>Sensor is not working</v>
      </c>
      <c r="G12" s="32" t="str">
        <f aca="false">IF($K12="","",IF(INDEX('All Devices (Master)'!$I:$I,$K12)=0,"",INDEX('All Devices (Master)'!$I:$I,$K12)))</f>
        <v/>
      </c>
      <c r="H12" s="32" t="str">
        <f aca="false">IF($K12="","",IF(INDEX('All Devices (Master)'!$J:$J,$K12)=0,"",INDEX('All Devices (Master)'!$J:$J,$K12)))</f>
        <v>Black &amp; White</v>
      </c>
      <c r="I12" s="32" t="str">
        <f aca="false">IF($K12="","",INDEX('All Devices (Master)'!$V:$V,$K12))</f>
        <v/>
      </c>
      <c r="K12" s="1" t="n">
        <f aca="false">IFERROR(MATCH("S1-"&amp;10,'All Devices (Master)'!$U:$U,0),"")</f>
        <v>44</v>
      </c>
    </row>
    <row r="13" customFormat="false" ht="15" hidden="false" customHeight="true" outlineLevel="0" collapsed="false">
      <c r="A13" s="39" t="n">
        <f aca="false">IF($K13="","",11)</f>
        <v>11</v>
      </c>
      <c r="B13" s="26" t="str">
        <f aca="false">IF($K13="","",INDEX('All Devices (Master)'!$D:$D,$K13))</f>
        <v>X628-C</v>
      </c>
      <c r="C13" s="26" t="str">
        <f aca="false">IF($K13="","",INDEX('All Devices (Master)'!$E:$E,$K13))</f>
        <v>Maravila</v>
      </c>
      <c r="D13" s="26" t="str">
        <f aca="false">IF($K13="","",INDEX('All Devices (Master)'!$F:$F,$K13))</f>
        <v>6335183600003</v>
      </c>
      <c r="E13" s="26" t="str">
        <f aca="false">IF($K13="","",INDEX('All Devices (Master)'!$G:$G,$K13))</f>
        <v>Working, Have to Repair</v>
      </c>
      <c r="F13" s="26" t="str">
        <f aca="false">IF($K13="","",IF(INDEX('All Devices (Master)'!$H:$H,$K13)=0,"",INDEX('All Devices (Master)'!$H:$H,$K13)))</f>
        <v>No Sensor</v>
      </c>
      <c r="G13" s="26" t="str">
        <f aca="false">IF($K13="","",IF(INDEX('All Devices (Master)'!$I:$I,$K13)=0,"",INDEX('All Devices (Master)'!$I:$I,$K13)))</f>
        <v/>
      </c>
      <c r="H13" s="26" t="str">
        <f aca="false">IF($K13="","",IF(INDEX('All Devices (Master)'!$J:$J,$K13)=0,"",INDEX('All Devices (Master)'!$J:$J,$K13)))</f>
        <v>Colour</v>
      </c>
      <c r="I13" s="26" t="str">
        <f aca="false">IF($K13="","",INDEX('All Devices (Master)'!$V:$V,$K13))</f>
        <v/>
      </c>
      <c r="K13" s="1" t="n">
        <f aca="false">IFERROR(MATCH("S1-"&amp;11,'All Devices (Master)'!$U:$U,0),"")</f>
        <v>47</v>
      </c>
    </row>
    <row r="14" customFormat="false" ht="15" hidden="false" customHeight="true" outlineLevel="0" collapsed="false">
      <c r="A14" s="40" t="n">
        <f aca="false">IF($K14="","",12)</f>
        <v>12</v>
      </c>
      <c r="B14" s="32" t="str">
        <f aca="false">IF($K14="","",INDEX('All Devices (Master)'!$D:$D,$K14))</f>
        <v>X628</v>
      </c>
      <c r="C14" s="32" t="str">
        <f aca="false">IF($K14="","",INDEX('All Devices (Master)'!$E:$E,$K14))</f>
        <v>Ja ela</v>
      </c>
      <c r="D14" s="32" t="str">
        <f aca="false">IF($K14="","",INDEX('All Devices (Master)'!$F:$F,$K14))</f>
        <v>CDQ9194460068</v>
      </c>
      <c r="E14" s="32" t="str">
        <f aca="false">IF($K14="","",INDEX('All Devices (Master)'!$G:$G,$K14))</f>
        <v>Working, Have to Repair</v>
      </c>
      <c r="F14" s="32" t="str">
        <f aca="false">IF($K14="","",IF(INDEX('All Devices (Master)'!$H:$H,$K14)=0,"",INDEX('All Devices (Master)'!$H:$H,$K14)))</f>
        <v>Sensor is not working</v>
      </c>
      <c r="G14" s="32" t="str">
        <f aca="false">IF($K14="","",IF(INDEX('All Devices (Master)'!$I:$I,$K14)=0,"",INDEX('All Devices (Master)'!$I:$I,$K14)))</f>
        <v/>
      </c>
      <c r="H14" s="32" t="str">
        <f aca="false">IF($K14="","",IF(INDEX('All Devices (Master)'!$J:$J,$K14)=0,"",INDEX('All Devices (Master)'!$J:$J,$K14)))</f>
        <v>Colour</v>
      </c>
      <c r="I14" s="32" t="str">
        <f aca="false">IF($K14="","",INDEX('All Devices (Master)'!$V:$V,$K14))</f>
        <v/>
      </c>
      <c r="K14" s="1" t="n">
        <f aca="false">IFERROR(MATCH("S1-"&amp;12,'All Devices (Master)'!$U:$U,0),"")</f>
        <v>58</v>
      </c>
    </row>
    <row r="15" customFormat="false" ht="15" hidden="false" customHeight="true" outlineLevel="0" collapsed="false">
      <c r="A15" s="39" t="n">
        <f aca="false">IF($K15="","",13)</f>
        <v>13</v>
      </c>
      <c r="B15" s="26" t="str">
        <f aca="false">IF($K15="","",INDEX('All Devices (Master)'!$D:$D,$K15))</f>
        <v>X628</v>
      </c>
      <c r="C15" s="26" t="str">
        <f aca="false">IF($K15="","",INDEX('All Devices (Master)'!$E:$E,$K15))</f>
        <v>Kotahena</v>
      </c>
      <c r="D15" s="26" t="str">
        <f aca="false">IF($K15="","",INDEX('All Devices (Master)'!$F:$F,$K15))</f>
        <v>AEG823490082</v>
      </c>
      <c r="E15" s="26" t="str">
        <f aca="false">IF($K15="","",INDEX('All Devices (Master)'!$G:$G,$K15))</f>
        <v>Working, Have to Repair</v>
      </c>
      <c r="F15" s="26" t="str">
        <f aca="false">IF($K15="","",IF(INDEX('All Devices (Master)'!$H:$H,$K15)=0,"",INDEX('All Devices (Master)'!$H:$H,$K15)))</f>
        <v>No sensor and also have power issue some time device is off automatically</v>
      </c>
      <c r="G15" s="26" t="str">
        <f aca="false">IF($K15="","",IF(INDEX('All Devices (Master)'!$I:$I,$K15)=0,"",INDEX('All Devices (Master)'!$I:$I,$K15)))</f>
        <v/>
      </c>
      <c r="H15" s="26" t="str">
        <f aca="false">IF($K15="","",IF(INDEX('All Devices (Master)'!$J:$J,$K15)=0,"",INDEX('All Devices (Master)'!$J:$J,$K15)))</f>
        <v>Colour</v>
      </c>
      <c r="I15" s="26" t="str">
        <f aca="false">IF($K15="","",INDEX('All Devices (Master)'!$V:$V,$K15))</f>
        <v>Multiple fault types detected - review full details before repair</v>
      </c>
      <c r="K15" s="1" t="n">
        <f aca="false">IFERROR(MATCH("S1-"&amp;13,'All Devices (Master)'!$U:$U,0),"")</f>
        <v>62</v>
      </c>
    </row>
    <row r="16" customFormat="false" ht="15" hidden="false" customHeight="true" outlineLevel="0" collapsed="false">
      <c r="A16" s="40" t="n">
        <f aca="false">IF($K16="","",14)</f>
        <v>14</v>
      </c>
      <c r="B16" s="32" t="str">
        <f aca="false">IF($K16="","",INDEX('All Devices (Master)'!$D:$D,$K16))</f>
        <v>X628</v>
      </c>
      <c r="C16" s="32" t="str">
        <f aca="false">IF($K16="","",INDEX('All Devices (Master)'!$E:$E,$K16))</f>
        <v>Nugegoda 02</v>
      </c>
      <c r="D16" s="32" t="str">
        <f aca="false">IF($K16="","",INDEX('All Devices (Master)'!$F:$F,$K16))</f>
        <v>AEG82349000081</v>
      </c>
      <c r="E16" s="32" t="str">
        <f aca="false">IF($K16="","",INDEX('All Devices (Master)'!$G:$G,$K16))</f>
        <v>Working, Have to Repair</v>
      </c>
      <c r="F16" s="32" t="str">
        <f aca="false">IF($K16="","",IF(INDEX('All Devices (Master)'!$H:$H,$K16)=0,"",INDEX('All Devices (Master)'!$H:$H,$K16)))</f>
        <v>No sensor and also have power issue some time device is off automatically</v>
      </c>
      <c r="G16" s="32" t="str">
        <f aca="false">IF($K16="","",IF(INDEX('All Devices (Master)'!$I:$I,$K16)=0,"",INDEX('All Devices (Master)'!$I:$I,$K16)))</f>
        <v/>
      </c>
      <c r="H16" s="32" t="str">
        <f aca="false">IF($K16="","",IF(INDEX('All Devices (Master)'!$J:$J,$K16)=0,"",INDEX('All Devices (Master)'!$J:$J,$K16)))</f>
        <v>Colour</v>
      </c>
      <c r="I16" s="32" t="str">
        <f aca="false">IF($K16="","",INDEX('All Devices (Master)'!$V:$V,$K16))</f>
        <v>Multiple fault types detected - review full details before repair</v>
      </c>
      <c r="K16" s="1" t="n">
        <f aca="false">IFERROR(MATCH("S1-"&amp;14,'All Devices (Master)'!$U:$U,0),"")</f>
        <v>63</v>
      </c>
    </row>
    <row r="17" customFormat="false" ht="15" hidden="false" customHeight="true" outlineLevel="0" collapsed="false">
      <c r="A17" s="39" t="n">
        <f aca="false">IF($K17="","",15)</f>
        <v>15</v>
      </c>
      <c r="B17" s="26" t="str">
        <f aca="false">IF($K17="","",INDEX('All Devices (Master)'!$D:$D,$K17))</f>
        <v>X628-C</v>
      </c>
      <c r="C17" s="26" t="str">
        <f aca="false">IF($K17="","",INDEX('All Devices (Master)'!$E:$E,$K17))</f>
        <v>Nuwaraeliya</v>
      </c>
      <c r="D17" s="26" t="str">
        <f aca="false">IF($K17="","",INDEX('All Devices (Master)'!$F:$F,$K17))</f>
        <v>CDQ9224660007</v>
      </c>
      <c r="E17" s="26" t="str">
        <f aca="false">IF($K17="","",INDEX('All Devices (Master)'!$G:$G,$K17))</f>
        <v>Not Working, Have to Repair</v>
      </c>
      <c r="F17" s="26" t="str">
        <f aca="false">IF($K17="","",IF(INDEX('All Devices (Master)'!$H:$H,$K17)=0,"",INDEX('All Devices (Master)'!$H:$H,$K17)))</f>
        <v>No finger print Scanner </v>
      </c>
      <c r="G17" s="26" t="str">
        <f aca="false">IF($K17="","",IF(INDEX('All Devices (Master)'!$I:$I,$K17)=0,"",INDEX('All Devices (Master)'!$I:$I,$K17)))</f>
        <v>have power issue also automatically turn off </v>
      </c>
      <c r="H17" s="26" t="str">
        <f aca="false">IF($K17="","",IF(INDEX('All Devices (Master)'!$J:$J,$K17)=0,"",INDEX('All Devices (Master)'!$J:$J,$K17)))</f>
        <v>Colour</v>
      </c>
      <c r="I17" s="26" t="str">
        <f aca="false">IF($K17="","",INDEX('All Devices (Master)'!$V:$V,$K17))</f>
        <v>Multiple fault types detected - review full details before repair</v>
      </c>
      <c r="K17" s="1" t="n">
        <f aca="false">IFERROR(MATCH("S1-"&amp;15,'All Devices (Master)'!$U:$U,0),"")</f>
        <v>67</v>
      </c>
    </row>
    <row r="18" customFormat="false" ht="15" hidden="false" customHeight="true" outlineLevel="0" collapsed="false">
      <c r="A18" s="40" t="n">
        <f aca="false">IF($K18="","",16)</f>
        <v>16</v>
      </c>
      <c r="B18" s="32" t="str">
        <f aca="false">IF($K18="","",INDEX('All Devices (Master)'!$D:$D,$K18))</f>
        <v>X628</v>
      </c>
      <c r="C18" s="32" t="str">
        <f aca="false">IF($K18="","",INDEX('All Devices (Master)'!$E:$E,$K18))</f>
        <v>Kohuwala 02</v>
      </c>
      <c r="D18" s="32" t="str">
        <f aca="false">IF($K18="","",INDEX('All Devices (Master)'!$F:$F,$K18))</f>
        <v>6006183600001</v>
      </c>
      <c r="E18" s="32" t="str">
        <f aca="false">IF($K18="","",INDEX('All Devices (Master)'!$G:$G,$K18))</f>
        <v>Working, Have to Repair</v>
      </c>
      <c r="F18" s="32" t="str">
        <f aca="false">IF($K18="","",IF(INDEX('All Devices (Master)'!$H:$H,$K18)=0,"",INDEX('All Devices (Master)'!$H:$H,$K18)))</f>
        <v>Sensor is not working</v>
      </c>
      <c r="G18" s="32" t="str">
        <f aca="false">IF($K18="","",IF(INDEX('All Devices (Master)'!$I:$I,$K18)=0,"",INDEX('All Devices (Master)'!$I:$I,$K18)))</f>
        <v/>
      </c>
      <c r="H18" s="32" t="str">
        <f aca="false">IF($K18="","",IF(INDEX('All Devices (Master)'!$J:$J,$K18)=0,"",INDEX('All Devices (Master)'!$J:$J,$K18)))</f>
        <v>Black &amp; White</v>
      </c>
      <c r="I18" s="32" t="str">
        <f aca="false">IF($K18="","",INDEX('All Devices (Master)'!$V:$V,$K18))</f>
        <v/>
      </c>
      <c r="K18" s="1" t="n">
        <f aca="false">IFERROR(MATCH("S1-"&amp;16,'All Devices (Master)'!$U:$U,0),"")</f>
        <v>68</v>
      </c>
    </row>
    <row r="19" customFormat="false" ht="15" hidden="false" customHeight="true" outlineLevel="0" collapsed="false">
      <c r="A19" s="39" t="n">
        <f aca="false">IF($K19="","",17)</f>
        <v>17</v>
      </c>
      <c r="B19" s="26" t="str">
        <f aca="false">IF($K19="","",INDEX('All Devices (Master)'!$D:$D,$K19))</f>
        <v>X628</v>
      </c>
      <c r="C19" s="26" t="str">
        <f aca="false">IF($K19="","",INDEX('All Devices (Master)'!$E:$E,$K19))</f>
        <v>Galle 02</v>
      </c>
      <c r="D19" s="26" t="str">
        <f aca="false">IF($K19="","",INDEX('All Devices (Master)'!$F:$F,$K19))</f>
        <v>6335203300002</v>
      </c>
      <c r="E19" s="26" t="str">
        <f aca="false">IF($K19="","",INDEX('All Devices (Master)'!$G:$G,$K19))</f>
        <v>Working, Have to Repair</v>
      </c>
      <c r="F19" s="26" t="str">
        <f aca="false">IF($K19="","",IF(INDEX('All Devices (Master)'!$H:$H,$K19)=0,"",INDEX('All Devices (Master)'!$H:$H,$K19)))</f>
        <v>No Sensor</v>
      </c>
      <c r="G19" s="26" t="str">
        <f aca="false">IF($K19="","",IF(INDEX('All Devices (Master)'!$I:$I,$K19)=0,"",INDEX('All Devices (Master)'!$I:$I,$K19)))</f>
        <v/>
      </c>
      <c r="H19" s="26" t="str">
        <f aca="false">IF($K19="","",IF(INDEX('All Devices (Master)'!$J:$J,$K19)=0,"",INDEX('All Devices (Master)'!$J:$J,$K19)))</f>
        <v>Colour</v>
      </c>
      <c r="I19" s="26" t="str">
        <f aca="false">IF($K19="","",INDEX('All Devices (Master)'!$V:$V,$K19))</f>
        <v/>
      </c>
      <c r="K19" s="1" t="n">
        <f aca="false">IFERROR(MATCH("S1-"&amp;17,'All Devices (Master)'!$U:$U,0),"")</f>
        <v>79</v>
      </c>
    </row>
    <row r="20" customFormat="false" ht="34.5" hidden="false" customHeight="true" outlineLevel="0" collapsed="false">
      <c r="A20" s="40" t="n">
        <f aca="false">IF($K20="","",18)</f>
        <v>18</v>
      </c>
      <c r="B20" s="32" t="str">
        <f aca="false">IF($K20="","",INDEX('All Devices (Master)'!$D:$D,$K20))</f>
        <v>X628</v>
      </c>
      <c r="C20" s="32" t="str">
        <f aca="false">IF($K20="","",INDEX('All Devices (Master)'!$E:$E,$K20))</f>
        <v>Akuregoda</v>
      </c>
      <c r="D20" s="32" t="str">
        <f aca="false">IF($K20="","",INDEX('All Devices (Master)'!$F:$F,$K20))</f>
        <v>CDQ9192160003</v>
      </c>
      <c r="E20" s="32" t="str">
        <f aca="false">IF($K20="","",INDEX('All Devices (Master)'!$G:$G,$K20))</f>
        <v>Working, Have to Repair</v>
      </c>
      <c r="F20" s="32" t="str">
        <f aca="false">IF($K20="","",IF(INDEX('All Devices (Master)'!$H:$H,$K20)=0,"",INDEX('All Devices (Master)'!$H:$H,$K20)))</f>
        <v>No sensor and also have power issue some time device is off automatically</v>
      </c>
      <c r="G20" s="43" t="str">
        <f aca="false">IF($K20="","",IF(INDEX('All Devices (Master)'!$I:$I,$K20)=0,"",INDEX('All Devices (Master)'!$I:$I,$K20)))</f>
        <v>
</v>
      </c>
      <c r="H20" s="32" t="str">
        <f aca="false">IF($K20="","",IF(INDEX('All Devices (Master)'!$J:$J,$K20)=0,"",INDEX('All Devices (Master)'!$J:$J,$K20)))</f>
        <v>Colour</v>
      </c>
      <c r="I20" s="32" t="str">
        <f aca="false">IF($K20="","",INDEX('All Devices (Master)'!$V:$V,$K20))</f>
        <v>Multiple fault types detected - review full details before repair</v>
      </c>
      <c r="K20" s="1" t="n">
        <f aca="false">IFERROR(MATCH("S1-"&amp;18,'All Devices (Master)'!$U:$U,0),"")</f>
        <v>91</v>
      </c>
    </row>
    <row r="21" customFormat="false" ht="15" hidden="false" customHeight="true" outlineLevel="0" collapsed="false">
      <c r="A21" s="39" t="n">
        <f aca="false">IF($K21="","",19)</f>
        <v>19</v>
      </c>
      <c r="B21" s="26" t="str">
        <f aca="false">IF($K21="","",INDEX('All Devices (Master)'!$D:$D,$K21))</f>
        <v>X628</v>
      </c>
      <c r="C21" s="26" t="str">
        <f aca="false">IF($K21="","",INDEX('All Devices (Master)'!$E:$E,$K21))</f>
        <v>Kalubowila</v>
      </c>
      <c r="D21" s="26" t="str">
        <f aca="false">IF($K21="","",INDEX('All Devices (Master)'!$F:$F,$K21))</f>
        <v>0065172410021</v>
      </c>
      <c r="E21" s="26" t="str">
        <f aca="false">IF($K21="","",INDEX('All Devices (Master)'!$G:$G,$K21))</f>
        <v>Working, Have to Repair</v>
      </c>
      <c r="F21" s="26" t="str">
        <f aca="false">IF($K21="","",IF(INDEX('All Devices (Master)'!$H:$H,$K21)=0,"",INDEX('All Devices (Master)'!$H:$H,$K21)))</f>
        <v>Sensor is not working</v>
      </c>
      <c r="G21" s="26" t="str">
        <f aca="false">IF($K21="","",IF(INDEX('All Devices (Master)'!$I:$I,$K21)=0,"",INDEX('All Devices (Master)'!$I:$I,$K21)))</f>
        <v>Display is not clear</v>
      </c>
      <c r="H21" s="26" t="str">
        <f aca="false">IF($K21="","",IF(INDEX('All Devices (Master)'!$J:$J,$K21)=0,"",INDEX('All Devices (Master)'!$J:$J,$K21)))</f>
        <v>Black &amp; White</v>
      </c>
      <c r="I21" s="26" t="str">
        <f aca="false">IF($K21="","",INDEX('All Devices (Master)'!$V:$V,$K21))</f>
        <v>Multiple fault types detected - review full details before repair</v>
      </c>
      <c r="K21" s="1" t="n">
        <f aca="false">IFERROR(MATCH("S1-"&amp;19,'All Devices (Master)'!$U:$U,0),"")</f>
        <v>99</v>
      </c>
    </row>
    <row r="22" customFormat="false" ht="15" hidden="false" customHeight="true" outlineLevel="0" collapsed="false">
      <c r="A22" s="40" t="n">
        <f aca="false">IF($K22="","",20)</f>
        <v>20</v>
      </c>
      <c r="B22" s="32" t="str">
        <f aca="false">IF($K22="","",INDEX('All Devices (Master)'!$D:$D,$K22))</f>
        <v>X628 Plus</v>
      </c>
      <c r="C22" s="32" t="str">
        <f aca="false">IF($K22="","",INDEX('All Devices (Master)'!$E:$E,$K22))</f>
        <v>Kottawa 02</v>
      </c>
      <c r="D22" s="32" t="str">
        <f aca="false">IF($K22="","",INDEX('All Devices (Master)'!$F:$F,$K22))</f>
        <v>0006141600001</v>
      </c>
      <c r="E22" s="32" t="str">
        <f aca="false">IF($K22="","",INDEX('All Devices (Master)'!$G:$G,$K22))</f>
        <v>Working, Have to Repair</v>
      </c>
      <c r="F22" s="32" t="str">
        <f aca="false">IF($K22="","",IF(INDEX('All Devices (Master)'!$H:$H,$K22)=0,"",INDEX('All Devices (Master)'!$H:$H,$K22)))</f>
        <v>Sensor is not working</v>
      </c>
      <c r="G22" s="32" t="str">
        <f aca="false">IF($K22="","",IF(INDEX('All Devices (Master)'!$I:$I,$K22)=0,"",INDEX('All Devices (Master)'!$I:$I,$K22)))</f>
        <v/>
      </c>
      <c r="H22" s="32" t="str">
        <f aca="false">IF($K22="","",IF(INDEX('All Devices (Master)'!$J:$J,$K22)=0,"",INDEX('All Devices (Master)'!$J:$J,$K22)))</f>
        <v>Black &amp; White</v>
      </c>
      <c r="I22" s="32" t="str">
        <f aca="false">IF($K22="","",INDEX('All Devices (Master)'!$V:$V,$K22))</f>
        <v/>
      </c>
      <c r="K22" s="1" t="n">
        <f aca="false">IFERROR(MATCH("S1-"&amp;20,'All Devices (Master)'!$U:$U,0),"")</f>
        <v>101</v>
      </c>
    </row>
    <row r="23" customFormat="false" ht="15" hidden="false" customHeight="true" outlineLevel="0" collapsed="false">
      <c r="A23" s="39" t="n">
        <f aca="false">IF($K23="","",21)</f>
        <v>21</v>
      </c>
      <c r="B23" s="26" t="str">
        <f aca="false">IF($K23="","",INDEX('All Devices (Master)'!$D:$D,$K23))</f>
        <v>X628</v>
      </c>
      <c r="C23" s="26" t="str">
        <f aca="false">IF($K23="","",INDEX('All Devices (Master)'!$E:$E,$K23))</f>
        <v>Sooriyawewa CC</v>
      </c>
      <c r="D23" s="26" t="str">
        <f aca="false">IF($K23="","",INDEX('All Devices (Master)'!$F:$F,$K23))</f>
        <v>AEG8243600003</v>
      </c>
      <c r="E23" s="26" t="str">
        <f aca="false">IF($K23="","",INDEX('All Devices (Master)'!$G:$G,$K23))</f>
        <v>Working, Have to Repair</v>
      </c>
      <c r="F23" s="26" t="str">
        <f aca="false">IF($K23="","",IF(INDEX('All Devices (Master)'!$H:$H,$K23)=0,"",INDEX('All Devices (Master)'!$H:$H,$K23)))</f>
        <v>No sensor and also have power issue some time device is off automatically</v>
      </c>
      <c r="G23" s="26" t="str">
        <f aca="false">IF($K23="","",IF(INDEX('All Devices (Master)'!$I:$I,$K23)=0,"",INDEX('All Devices (Master)'!$I:$I,$K23)))</f>
        <v/>
      </c>
      <c r="H23" s="26" t="str">
        <f aca="false">IF($K23="","",IF(INDEX('All Devices (Master)'!$J:$J,$K23)=0,"",INDEX('All Devices (Master)'!$J:$J,$K23)))</f>
        <v>Colour</v>
      </c>
      <c r="I23" s="26" t="str">
        <f aca="false">IF($K23="","",INDEX('All Devices (Master)'!$V:$V,$K23))</f>
        <v>Multiple fault types detected - review full details before repair</v>
      </c>
      <c r="K23" s="1" t="n">
        <f aca="false">IFERROR(MATCH("S1-"&amp;21,'All Devices (Master)'!$U:$U,0),"")</f>
        <v>107</v>
      </c>
    </row>
    <row r="24" customFormat="false" ht="15" hidden="false" customHeight="true" outlineLevel="0" collapsed="false">
      <c r="A24" s="40" t="n">
        <f aca="false">IF($K24="","",22)</f>
        <v>22</v>
      </c>
      <c r="B24" s="32" t="str">
        <f aca="false">IF($K24="","",INDEX('All Devices (Master)'!$D:$D,$K24))</f>
        <v>X628</v>
      </c>
      <c r="C24" s="32" t="str">
        <f aca="false">IF($K24="","",INDEX('All Devices (Master)'!$E:$E,$K24))</f>
        <v>Gampola</v>
      </c>
      <c r="D24" s="32" t="str">
        <f aca="false">IF($K24="","",INDEX('All Devices (Master)'!$F:$F,$K24))</f>
        <v>CDQ9184760011</v>
      </c>
      <c r="E24" s="32" t="str">
        <f aca="false">IF($K24="","",INDEX('All Devices (Master)'!$G:$G,$K24))</f>
        <v>Working, Have to Repair</v>
      </c>
      <c r="F24" s="32" t="str">
        <f aca="false">IF($K24="","",IF(INDEX('All Devices (Master)'!$H:$H,$K24)=0,"",INDEX('All Devices (Master)'!$H:$H,$K24)))</f>
        <v>No sensor and also have power issue some time device is off automatically</v>
      </c>
      <c r="G24" s="32" t="str">
        <f aca="false">IF($K24="","",IF(INDEX('All Devices (Master)'!$I:$I,$K24)=0,"",INDEX('All Devices (Master)'!$I:$I,$K24)))</f>
        <v/>
      </c>
      <c r="H24" s="32" t="str">
        <f aca="false">IF($K24="","",IF(INDEX('All Devices (Master)'!$J:$J,$K24)=0,"",INDEX('All Devices (Master)'!$J:$J,$K24)))</f>
        <v>Colour</v>
      </c>
      <c r="I24" s="32" t="str">
        <f aca="false">IF($K24="","",INDEX('All Devices (Master)'!$V:$V,$K24))</f>
        <v>Multiple fault types detected - review full details before repair</v>
      </c>
      <c r="K24" s="1" t="n">
        <f aca="false">IFERROR(MATCH("S1-"&amp;22,'All Devices (Master)'!$U:$U,0),"")</f>
        <v>110</v>
      </c>
    </row>
    <row r="25" customFormat="false" ht="15" hidden="false" customHeight="true" outlineLevel="0" collapsed="false">
      <c r="A25" s="39" t="n">
        <f aca="false">IF($K25="","",23)</f>
        <v>23</v>
      </c>
      <c r="B25" s="26" t="str">
        <f aca="false">IF($K25="","",INDEX('All Devices (Master)'!$D:$D,$K25))</f>
        <v>X628</v>
      </c>
      <c r="C25" s="26" t="str">
        <f aca="false">IF($K25="","",INDEX('All Devices (Master)'!$E:$E,$K25))</f>
        <v>Embilipitiya</v>
      </c>
      <c r="D25" s="26" t="str">
        <f aca="false">IF($K25="","",INDEX('All Devices (Master)'!$F:$F,$K25))</f>
        <v>A5T2180360103</v>
      </c>
      <c r="E25" s="26" t="str">
        <f aca="false">IF($K25="","",INDEX('All Devices (Master)'!$G:$G,$K25))</f>
        <v>Working, Have to Repair</v>
      </c>
      <c r="F25" s="26" t="str">
        <f aca="false">IF($K25="","",IF(INDEX('All Devices (Master)'!$H:$H,$K25)=0,"",INDEX('All Devices (Master)'!$H:$H,$K25)))</f>
        <v>No Sensor</v>
      </c>
      <c r="G25" s="26" t="str">
        <f aca="false">IF($K25="","",IF(INDEX('All Devices (Master)'!$I:$I,$K25)=0,"",INDEX('All Devices (Master)'!$I:$I,$K25)))</f>
        <v/>
      </c>
      <c r="H25" s="26" t="str">
        <f aca="false">IF($K25="","",IF(INDEX('All Devices (Master)'!$J:$J,$K25)=0,"",INDEX('All Devices (Master)'!$J:$J,$K25)))</f>
        <v>Colour</v>
      </c>
      <c r="I25" s="26" t="str">
        <f aca="false">IF($K25="","",INDEX('All Devices (Master)'!$V:$V,$K25))</f>
        <v/>
      </c>
      <c r="K25" s="1" t="n">
        <f aca="false">IFERROR(MATCH("S1-"&amp;23,'All Devices (Master)'!$U:$U,0),"")</f>
        <v>112</v>
      </c>
    </row>
    <row r="26" customFormat="false" ht="15" hidden="false" customHeight="true" outlineLevel="0" collapsed="false">
      <c r="A26" s="40" t="n">
        <f aca="false">IF($K26="","",24)</f>
        <v>24</v>
      </c>
      <c r="B26" s="32" t="str">
        <f aca="false">IF($K26="","",INDEX('All Devices (Master)'!$D:$D,$K26))</f>
        <v>X628</v>
      </c>
      <c r="C26" s="32" t="str">
        <f aca="false">IF($K26="","",INDEX('All Devices (Master)'!$E:$E,$K26))</f>
        <v>Thalahena</v>
      </c>
      <c r="D26" s="32" t="str">
        <f aca="false">IF($K26="","",INDEX('All Devices (Master)'!$F:$F,$K26))</f>
        <v>A5RN174660001</v>
      </c>
      <c r="E26" s="32" t="str">
        <f aca="false">IF($K26="","",INDEX('All Devices (Master)'!$G:$G,$K26))</f>
        <v>Working, Have to Repair</v>
      </c>
      <c r="F26" s="32" t="str">
        <f aca="false">IF($K26="","",IF(INDEX('All Devices (Master)'!$H:$H,$K26)=0,"",INDEX('All Devices (Master)'!$H:$H,$K26)))</f>
        <v>Finger print Scanner is not working</v>
      </c>
      <c r="G26" s="32" t="str">
        <f aca="false">IF($K26="","",IF(INDEX('All Devices (Master)'!$I:$I,$K26)=0,"",INDEX('All Devices (Master)'!$I:$I,$K26)))</f>
        <v>display is not clear and, in key pad some keys have issues</v>
      </c>
      <c r="H26" s="32" t="str">
        <f aca="false">IF($K26="","",IF(INDEX('All Devices (Master)'!$J:$J,$K26)=0,"",INDEX('All Devices (Master)'!$J:$J,$K26)))</f>
        <v>Black &amp; White</v>
      </c>
      <c r="I26" s="32" t="str">
        <f aca="false">IF($K26="","",INDEX('All Devices (Master)'!$V:$V,$K26))</f>
        <v>Multiple fault types detected - review full details before repair</v>
      </c>
      <c r="K26" s="1" t="n">
        <f aca="false">IFERROR(MATCH("S1-"&amp;24,'All Devices (Master)'!$U:$U,0),"")</f>
        <v>118</v>
      </c>
    </row>
    <row r="27" customFormat="false" ht="15" hidden="false" customHeight="true" outlineLevel="0" collapsed="false">
      <c r="A27" s="39" t="n">
        <f aca="false">IF($K27="","",25)</f>
        <v>25</v>
      </c>
      <c r="B27" s="26" t="str">
        <f aca="false">IF($K27="","",INDEX('All Devices (Master)'!$D:$D,$K27))</f>
        <v>TX628</v>
      </c>
      <c r="C27" s="26" t="str">
        <f aca="false">IF($K27="","",INDEX('All Devices (Master)'!$E:$E,$K27))</f>
        <v>Mathugama</v>
      </c>
      <c r="D27" s="26" t="str">
        <f aca="false">IF($K27="","",INDEX('All Devices (Master)'!$F:$F,$K27))</f>
        <v>6160062170009</v>
      </c>
      <c r="E27" s="26" t="str">
        <f aca="false">IF($K27="","",INDEX('All Devices (Master)'!$G:$G,$K27))</f>
        <v>Working, Have to Repair</v>
      </c>
      <c r="F27" s="26" t="str">
        <f aca="false">IF($K27="","",IF(INDEX('All Devices (Master)'!$H:$H,$K27)=0,"",INDEX('All Devices (Master)'!$H:$H,$K27)))</f>
        <v>Sensor is not working </v>
      </c>
      <c r="G27" s="26" t="str">
        <f aca="false">IF($K27="","",IF(INDEX('All Devices (Master)'!$I:$I,$K27)=0,"",INDEX('All Devices (Master)'!$I:$I,$K27)))</f>
        <v/>
      </c>
      <c r="H27" s="26" t="str">
        <f aca="false">IF($K27="","",IF(INDEX('All Devices (Master)'!$J:$J,$K27)=0,"",INDEX('All Devices (Master)'!$J:$J,$K27)))</f>
        <v>Colour</v>
      </c>
      <c r="I27" s="26" t="str">
        <f aca="false">IF($K27="","",INDEX('All Devices (Master)'!$V:$V,$K27))</f>
        <v/>
      </c>
      <c r="K27" s="1" t="n">
        <f aca="false">IFERROR(MATCH("S1-"&amp;25,'All Devices (Master)'!$U:$U,0),"")</f>
        <v>121</v>
      </c>
    </row>
    <row r="28" customFormat="false" ht="15" hidden="false" customHeight="true" outlineLevel="0" collapsed="false">
      <c r="A28" s="40" t="n">
        <f aca="false">IF($K28="","",26)</f>
        <v>26</v>
      </c>
      <c r="B28" s="32" t="str">
        <f aca="false">IF($K28="","",INDEX('All Devices (Master)'!$D:$D,$K28))</f>
        <v>X628</v>
      </c>
      <c r="C28" s="32" t="str">
        <f aca="false">IF($K28="","",INDEX('All Devices (Master)'!$E:$E,$K28))</f>
        <v>unknown</v>
      </c>
      <c r="D28" s="32" t="str">
        <f aca="false">IF($K28="","",INDEX('All Devices (Master)'!$F:$F,$K28))</f>
        <v>0006141100014</v>
      </c>
      <c r="E28" s="32" t="str">
        <f aca="false">IF($K28="","",INDEX('All Devices (Master)'!$G:$G,$K28))</f>
        <v>Have to Repair</v>
      </c>
      <c r="F28" s="32" t="str">
        <f aca="false">IF($K28="","",IF(INDEX('All Devices (Master)'!$H:$H,$K28)=0,"",INDEX('All Devices (Master)'!$H:$H,$K28)))</f>
        <v>finger print Scanner and key board not working properly</v>
      </c>
      <c r="G28" s="32" t="str">
        <f aca="false">IF($K28="","",IF(INDEX('All Devices (Master)'!$I:$I,$K28)=0,"",INDEX('All Devices (Master)'!$I:$I,$K28)))</f>
        <v/>
      </c>
      <c r="H28" s="32" t="str">
        <f aca="false">IF($K28="","",IF(INDEX('All Devices (Master)'!$J:$J,$K28)=0,"",INDEX('All Devices (Master)'!$J:$J,$K28)))</f>
        <v>Black &amp; White</v>
      </c>
      <c r="I28" s="32" t="str">
        <f aca="false">IF($K28="","",INDEX('All Devices (Master)'!$V:$V,$K28))</f>
        <v>Multiple fault types detected - review full details before repair</v>
      </c>
      <c r="K28" s="1" t="n">
        <f aca="false">IFERROR(MATCH("S1-"&amp;26,'All Devices (Master)'!$U:$U,0),"")</f>
        <v>141</v>
      </c>
    </row>
    <row r="29" customFormat="false" ht="15" hidden="false" customHeight="true" outlineLevel="0" collapsed="false">
      <c r="A29" s="39" t="str">
        <f aca="false">IF($K29="","",27)</f>
        <v/>
      </c>
      <c r="B29" s="26" t="str">
        <f aca="false">IF($K29="","",INDEX('All Devices (Master)'!$D:$D,$K29))</f>
        <v/>
      </c>
      <c r="C29" s="26" t="str">
        <f aca="false">IF($K29="","",INDEX('All Devices (Master)'!$E:$E,$K29))</f>
        <v/>
      </c>
      <c r="D29" s="26" t="str">
        <f aca="false">IF($K29="","",INDEX('All Devices (Master)'!$F:$F,$K29))</f>
        <v/>
      </c>
      <c r="E29" s="26" t="str">
        <f aca="false">IF($K29="","",INDEX('All Devices (Master)'!$G:$G,$K29))</f>
        <v/>
      </c>
      <c r="F29" s="26" t="str">
        <f aca="false">IF($K29="","",IF(INDEX('All Devices (Master)'!$H:$H,$K29)=0,"",INDEX('All Devices (Master)'!$H:$H,$K29)))</f>
        <v/>
      </c>
      <c r="G29" s="26" t="str">
        <f aca="false">IF($K29="","",IF(INDEX('All Devices (Master)'!$I:$I,$K29)=0,"",INDEX('All Devices (Master)'!$I:$I,$K29)))</f>
        <v/>
      </c>
      <c r="H29" s="26" t="str">
        <f aca="false">IF($K29="","",IF(INDEX('All Devices (Master)'!$J:$J,$K29)=0,"",INDEX('All Devices (Master)'!$J:$J,$K29)))</f>
        <v/>
      </c>
      <c r="I29" s="26" t="str">
        <f aca="false">IF($K29="","",INDEX('All Devices (Master)'!$V:$V,$K29))</f>
        <v/>
      </c>
      <c r="K29" s="1" t="str">
        <f aca="false">IFERROR(MATCH("S1-"&amp;27,'All Devices (Master)'!$U:$U,0),"")</f>
        <v/>
      </c>
    </row>
    <row r="30" customFormat="false" ht="15" hidden="false" customHeight="true" outlineLevel="0" collapsed="false">
      <c r="A30" s="40" t="str">
        <f aca="false">IF($K30="","",28)</f>
        <v/>
      </c>
      <c r="B30" s="32" t="str">
        <f aca="false">IF($K30="","",INDEX('All Devices (Master)'!$D:$D,$K30))</f>
        <v/>
      </c>
      <c r="C30" s="32" t="str">
        <f aca="false">IF($K30="","",INDEX('All Devices (Master)'!$E:$E,$K30))</f>
        <v/>
      </c>
      <c r="D30" s="32" t="str">
        <f aca="false">IF($K30="","",INDEX('All Devices (Master)'!$F:$F,$K30))</f>
        <v/>
      </c>
      <c r="E30" s="32" t="str">
        <f aca="false">IF($K30="","",INDEX('All Devices (Master)'!$G:$G,$K30))</f>
        <v/>
      </c>
      <c r="F30" s="32" t="str">
        <f aca="false">IF($K30="","",IF(INDEX('All Devices (Master)'!$H:$H,$K30)=0,"",INDEX('All Devices (Master)'!$H:$H,$K30)))</f>
        <v/>
      </c>
      <c r="G30" s="32" t="str">
        <f aca="false">IF($K30="","",IF(INDEX('All Devices (Master)'!$I:$I,$K30)=0,"",INDEX('All Devices (Master)'!$I:$I,$K30)))</f>
        <v/>
      </c>
      <c r="H30" s="32" t="str">
        <f aca="false">IF($K30="","",IF(INDEX('All Devices (Master)'!$J:$J,$K30)=0,"",INDEX('All Devices (Master)'!$J:$J,$K30)))</f>
        <v/>
      </c>
      <c r="I30" s="32" t="str">
        <f aca="false">IF($K30="","",INDEX('All Devices (Master)'!$V:$V,$K30))</f>
        <v/>
      </c>
      <c r="K30" s="1" t="str">
        <f aca="false">IFERROR(MATCH("S1-"&amp;28,'All Devices (Master)'!$U:$U,0),"")</f>
        <v/>
      </c>
    </row>
    <row r="31" customFormat="false" ht="15" hidden="false" customHeight="true" outlineLevel="0" collapsed="false">
      <c r="A31" s="39" t="str">
        <f aca="false">IF($K31="","",29)</f>
        <v/>
      </c>
      <c r="B31" s="26" t="str">
        <f aca="false">IF($K31="","",INDEX('All Devices (Master)'!$D:$D,$K31))</f>
        <v/>
      </c>
      <c r="C31" s="26" t="str">
        <f aca="false">IF($K31="","",INDEX('All Devices (Master)'!$E:$E,$K31))</f>
        <v/>
      </c>
      <c r="D31" s="26" t="str">
        <f aca="false">IF($K31="","",INDEX('All Devices (Master)'!$F:$F,$K31))</f>
        <v/>
      </c>
      <c r="E31" s="26" t="str">
        <f aca="false">IF($K31="","",INDEX('All Devices (Master)'!$G:$G,$K31))</f>
        <v/>
      </c>
      <c r="F31" s="26" t="str">
        <f aca="false">IF($K31="","",IF(INDEX('All Devices (Master)'!$H:$H,$K31)=0,"",INDEX('All Devices (Master)'!$H:$H,$K31)))</f>
        <v/>
      </c>
      <c r="G31" s="26" t="str">
        <f aca="false">IF($K31="","",IF(INDEX('All Devices (Master)'!$I:$I,$K31)=0,"",INDEX('All Devices (Master)'!$I:$I,$K31)))</f>
        <v/>
      </c>
      <c r="H31" s="26" t="str">
        <f aca="false">IF($K31="","",IF(INDEX('All Devices (Master)'!$J:$J,$K31)=0,"",INDEX('All Devices (Master)'!$J:$J,$K31)))</f>
        <v/>
      </c>
      <c r="I31" s="26" t="str">
        <f aca="false">IF($K31="","",INDEX('All Devices (Master)'!$V:$V,$K31))</f>
        <v/>
      </c>
      <c r="K31" s="1" t="str">
        <f aca="false">IFERROR(MATCH("S1-"&amp;29,'All Devices (Master)'!$U:$U,0),"")</f>
        <v/>
      </c>
    </row>
    <row r="32" customFormat="false" ht="15" hidden="false" customHeight="true" outlineLevel="0" collapsed="false">
      <c r="A32" s="40" t="str">
        <f aca="false">IF($K32="","",30)</f>
        <v/>
      </c>
      <c r="B32" s="32" t="str">
        <f aca="false">IF($K32="","",INDEX('All Devices (Master)'!$D:$D,$K32))</f>
        <v/>
      </c>
      <c r="C32" s="32" t="str">
        <f aca="false">IF($K32="","",INDEX('All Devices (Master)'!$E:$E,$K32))</f>
        <v/>
      </c>
      <c r="D32" s="32" t="str">
        <f aca="false">IF($K32="","",INDEX('All Devices (Master)'!$F:$F,$K32))</f>
        <v/>
      </c>
      <c r="E32" s="32" t="str">
        <f aca="false">IF($K32="","",INDEX('All Devices (Master)'!$G:$G,$K32))</f>
        <v/>
      </c>
      <c r="F32" s="32" t="str">
        <f aca="false">IF($K32="","",IF(INDEX('All Devices (Master)'!$H:$H,$K32)=0,"",INDEX('All Devices (Master)'!$H:$H,$K32)))</f>
        <v/>
      </c>
      <c r="G32" s="32" t="str">
        <f aca="false">IF($K32="","",IF(INDEX('All Devices (Master)'!$I:$I,$K32)=0,"",INDEX('All Devices (Master)'!$I:$I,$K32)))</f>
        <v/>
      </c>
      <c r="H32" s="32" t="str">
        <f aca="false">IF($K32="","",IF(INDEX('All Devices (Master)'!$J:$J,$K32)=0,"",INDEX('All Devices (Master)'!$J:$J,$K32)))</f>
        <v/>
      </c>
      <c r="I32" s="32" t="str">
        <f aca="false">IF($K32="","",INDEX('All Devices (Master)'!$V:$V,$K32))</f>
        <v/>
      </c>
      <c r="K32" s="1" t="str">
        <f aca="false">IFERROR(MATCH("S1-"&amp;30,'All Devices (Master)'!$U:$U,0),"")</f>
        <v/>
      </c>
    </row>
    <row r="33" customFormat="false" ht="15" hidden="false" customHeight="true" outlineLevel="0" collapsed="false">
      <c r="A33" s="39" t="str">
        <f aca="false">IF($K33="","",31)</f>
        <v/>
      </c>
      <c r="B33" s="26" t="str">
        <f aca="false">IF($K33="","",INDEX('All Devices (Master)'!$D:$D,$K33))</f>
        <v/>
      </c>
      <c r="C33" s="26" t="str">
        <f aca="false">IF($K33="","",INDEX('All Devices (Master)'!$E:$E,$K33))</f>
        <v/>
      </c>
      <c r="D33" s="26" t="str">
        <f aca="false">IF($K33="","",INDEX('All Devices (Master)'!$F:$F,$K33))</f>
        <v/>
      </c>
      <c r="E33" s="26" t="str">
        <f aca="false">IF($K33="","",INDEX('All Devices (Master)'!$G:$G,$K33))</f>
        <v/>
      </c>
      <c r="F33" s="26" t="str">
        <f aca="false">IF($K33="","",IF(INDEX('All Devices (Master)'!$H:$H,$K33)=0,"",INDEX('All Devices (Master)'!$H:$H,$K33)))</f>
        <v/>
      </c>
      <c r="G33" s="26" t="str">
        <f aca="false">IF($K33="","",IF(INDEX('All Devices (Master)'!$I:$I,$K33)=0,"",INDEX('All Devices (Master)'!$I:$I,$K33)))</f>
        <v/>
      </c>
      <c r="H33" s="26" t="str">
        <f aca="false">IF($K33="","",IF(INDEX('All Devices (Master)'!$J:$J,$K33)=0,"",INDEX('All Devices (Master)'!$J:$J,$K33)))</f>
        <v/>
      </c>
      <c r="I33" s="26" t="str">
        <f aca="false">IF($K33="","",INDEX('All Devices (Master)'!$V:$V,$K33))</f>
        <v/>
      </c>
      <c r="K33" s="1" t="str">
        <f aca="false">IFERROR(MATCH("S1-"&amp;31,'All Devices (Master)'!$U:$U,0),"")</f>
        <v/>
      </c>
    </row>
    <row r="34" customFormat="false" ht="15" hidden="false" customHeight="true" outlineLevel="0" collapsed="false">
      <c r="A34" s="40" t="str">
        <f aca="false">IF($K34="","",32)</f>
        <v/>
      </c>
      <c r="B34" s="32" t="str">
        <f aca="false">IF($K34="","",INDEX('All Devices (Master)'!$D:$D,$K34))</f>
        <v/>
      </c>
      <c r="C34" s="32" t="str">
        <f aca="false">IF($K34="","",INDEX('All Devices (Master)'!$E:$E,$K34))</f>
        <v/>
      </c>
      <c r="D34" s="32" t="str">
        <f aca="false">IF($K34="","",INDEX('All Devices (Master)'!$F:$F,$K34))</f>
        <v/>
      </c>
      <c r="E34" s="32" t="str">
        <f aca="false">IF($K34="","",INDEX('All Devices (Master)'!$G:$G,$K34))</f>
        <v/>
      </c>
      <c r="F34" s="32" t="str">
        <f aca="false">IF($K34="","",IF(INDEX('All Devices (Master)'!$H:$H,$K34)=0,"",INDEX('All Devices (Master)'!$H:$H,$K34)))</f>
        <v/>
      </c>
      <c r="G34" s="32" t="str">
        <f aca="false">IF($K34="","",IF(INDEX('All Devices (Master)'!$I:$I,$K34)=0,"",INDEX('All Devices (Master)'!$I:$I,$K34)))</f>
        <v/>
      </c>
      <c r="H34" s="32" t="str">
        <f aca="false">IF($K34="","",IF(INDEX('All Devices (Master)'!$J:$J,$K34)=0,"",INDEX('All Devices (Master)'!$J:$J,$K34)))</f>
        <v/>
      </c>
      <c r="I34" s="32" t="str">
        <f aca="false">IF($K34="","",INDEX('All Devices (Master)'!$V:$V,$K34))</f>
        <v/>
      </c>
      <c r="K34" s="1" t="str">
        <f aca="false">IFERROR(MATCH("S1-"&amp;32,'All Devices (Master)'!$U:$U,0),"")</f>
        <v/>
      </c>
    </row>
    <row r="35" customFormat="false" ht="15" hidden="false" customHeight="true" outlineLevel="0" collapsed="false">
      <c r="A35" s="39" t="str">
        <f aca="false">IF($K35="","",33)</f>
        <v/>
      </c>
      <c r="B35" s="26" t="str">
        <f aca="false">IF($K35="","",INDEX('All Devices (Master)'!$D:$D,$K35))</f>
        <v/>
      </c>
      <c r="C35" s="26" t="str">
        <f aca="false">IF($K35="","",INDEX('All Devices (Master)'!$E:$E,$K35))</f>
        <v/>
      </c>
      <c r="D35" s="26" t="str">
        <f aca="false">IF($K35="","",INDEX('All Devices (Master)'!$F:$F,$K35))</f>
        <v/>
      </c>
      <c r="E35" s="26" t="str">
        <f aca="false">IF($K35="","",INDEX('All Devices (Master)'!$G:$G,$K35))</f>
        <v/>
      </c>
      <c r="F35" s="26" t="str">
        <f aca="false">IF($K35="","",IF(INDEX('All Devices (Master)'!$H:$H,$K35)=0,"",INDEX('All Devices (Master)'!$H:$H,$K35)))</f>
        <v/>
      </c>
      <c r="G35" s="26" t="str">
        <f aca="false">IF($K35="","",IF(INDEX('All Devices (Master)'!$I:$I,$K35)=0,"",INDEX('All Devices (Master)'!$I:$I,$K35)))</f>
        <v/>
      </c>
      <c r="H35" s="26" t="str">
        <f aca="false">IF($K35="","",IF(INDEX('All Devices (Master)'!$J:$J,$K35)=0,"",INDEX('All Devices (Master)'!$J:$J,$K35)))</f>
        <v/>
      </c>
      <c r="I35" s="26" t="str">
        <f aca="false">IF($K35="","",INDEX('All Devices (Master)'!$V:$V,$K35))</f>
        <v/>
      </c>
      <c r="K35" s="1" t="str">
        <f aca="false">IFERROR(MATCH("S1-"&amp;33,'All Devices (Master)'!$U:$U,0),"")</f>
        <v/>
      </c>
    </row>
    <row r="36" customFormat="false" ht="15" hidden="false" customHeight="true" outlineLevel="0" collapsed="false">
      <c r="A36" s="40" t="str">
        <f aca="false">IF($K36="","",34)</f>
        <v/>
      </c>
      <c r="B36" s="32" t="str">
        <f aca="false">IF($K36="","",INDEX('All Devices (Master)'!$D:$D,$K36))</f>
        <v/>
      </c>
      <c r="C36" s="32" t="str">
        <f aca="false">IF($K36="","",INDEX('All Devices (Master)'!$E:$E,$K36))</f>
        <v/>
      </c>
      <c r="D36" s="32" t="str">
        <f aca="false">IF($K36="","",INDEX('All Devices (Master)'!$F:$F,$K36))</f>
        <v/>
      </c>
      <c r="E36" s="32" t="str">
        <f aca="false">IF($K36="","",INDEX('All Devices (Master)'!$G:$G,$K36))</f>
        <v/>
      </c>
      <c r="F36" s="32" t="str">
        <f aca="false">IF($K36="","",IF(INDEX('All Devices (Master)'!$H:$H,$K36)=0,"",INDEX('All Devices (Master)'!$H:$H,$K36)))</f>
        <v/>
      </c>
      <c r="G36" s="32" t="str">
        <f aca="false">IF($K36="","",IF(INDEX('All Devices (Master)'!$I:$I,$K36)=0,"",INDEX('All Devices (Master)'!$I:$I,$K36)))</f>
        <v/>
      </c>
      <c r="H36" s="32" t="str">
        <f aca="false">IF($K36="","",IF(INDEX('All Devices (Master)'!$J:$J,$K36)=0,"",INDEX('All Devices (Master)'!$J:$J,$K36)))</f>
        <v/>
      </c>
      <c r="I36" s="32" t="str">
        <f aca="false">IF($K36="","",INDEX('All Devices (Master)'!$V:$V,$K36))</f>
        <v/>
      </c>
      <c r="K36" s="1" t="str">
        <f aca="false">IFERROR(MATCH("S1-"&amp;34,'All Devices (Master)'!$U:$U,0),"")</f>
        <v/>
      </c>
    </row>
    <row r="37" customFormat="false" ht="15" hidden="false" customHeight="true" outlineLevel="0" collapsed="false">
      <c r="A37" s="39" t="str">
        <f aca="false">IF($K37="","",35)</f>
        <v/>
      </c>
      <c r="B37" s="26" t="str">
        <f aca="false">IF($K37="","",INDEX('All Devices (Master)'!$D:$D,$K37))</f>
        <v/>
      </c>
      <c r="C37" s="26" t="str">
        <f aca="false">IF($K37="","",INDEX('All Devices (Master)'!$E:$E,$K37))</f>
        <v/>
      </c>
      <c r="D37" s="26" t="str">
        <f aca="false">IF($K37="","",INDEX('All Devices (Master)'!$F:$F,$K37))</f>
        <v/>
      </c>
      <c r="E37" s="26" t="str">
        <f aca="false">IF($K37="","",INDEX('All Devices (Master)'!$G:$G,$K37))</f>
        <v/>
      </c>
      <c r="F37" s="26" t="str">
        <f aca="false">IF($K37="","",IF(INDEX('All Devices (Master)'!$H:$H,$K37)=0,"",INDEX('All Devices (Master)'!$H:$H,$K37)))</f>
        <v/>
      </c>
      <c r="G37" s="26" t="str">
        <f aca="false">IF($K37="","",IF(INDEX('All Devices (Master)'!$I:$I,$K37)=0,"",INDEX('All Devices (Master)'!$I:$I,$K37)))</f>
        <v/>
      </c>
      <c r="H37" s="26" t="str">
        <f aca="false">IF($K37="","",IF(INDEX('All Devices (Master)'!$J:$J,$K37)=0,"",INDEX('All Devices (Master)'!$J:$J,$K37)))</f>
        <v/>
      </c>
      <c r="I37" s="26" t="str">
        <f aca="false">IF($K37="","",INDEX('All Devices (Master)'!$V:$V,$K37))</f>
        <v/>
      </c>
      <c r="K37" s="1" t="str">
        <f aca="false">IFERROR(MATCH("S1-"&amp;35,'All Devices (Master)'!$U:$U,0),"")</f>
        <v/>
      </c>
    </row>
    <row r="38" customFormat="false" ht="15" hidden="false" customHeight="true" outlineLevel="0" collapsed="false">
      <c r="A38" s="40" t="str">
        <f aca="false">IF($K38="","",36)</f>
        <v/>
      </c>
      <c r="B38" s="32" t="str">
        <f aca="false">IF($K38="","",INDEX('All Devices (Master)'!$D:$D,$K38))</f>
        <v/>
      </c>
      <c r="C38" s="32" t="str">
        <f aca="false">IF($K38="","",INDEX('All Devices (Master)'!$E:$E,$K38))</f>
        <v/>
      </c>
      <c r="D38" s="32" t="str">
        <f aca="false">IF($K38="","",INDEX('All Devices (Master)'!$F:$F,$K38))</f>
        <v/>
      </c>
      <c r="E38" s="32" t="str">
        <f aca="false">IF($K38="","",INDEX('All Devices (Master)'!$G:$G,$K38))</f>
        <v/>
      </c>
      <c r="F38" s="32" t="str">
        <f aca="false">IF($K38="","",IF(INDEX('All Devices (Master)'!$H:$H,$K38)=0,"",INDEX('All Devices (Master)'!$H:$H,$K38)))</f>
        <v/>
      </c>
      <c r="G38" s="32" t="str">
        <f aca="false">IF($K38="","",IF(INDEX('All Devices (Master)'!$I:$I,$K38)=0,"",INDEX('All Devices (Master)'!$I:$I,$K38)))</f>
        <v/>
      </c>
      <c r="H38" s="32" t="str">
        <f aca="false">IF($K38="","",IF(INDEX('All Devices (Master)'!$J:$J,$K38)=0,"",INDEX('All Devices (Master)'!$J:$J,$K38)))</f>
        <v/>
      </c>
      <c r="I38" s="32" t="str">
        <f aca="false">IF($K38="","",INDEX('All Devices (Master)'!$V:$V,$K38))</f>
        <v/>
      </c>
      <c r="K38" s="1" t="str">
        <f aca="false">IFERROR(MATCH("S1-"&amp;36,'All Devices (Master)'!$U:$U,0),"")</f>
        <v/>
      </c>
    </row>
    <row r="39" customFormat="false" ht="15" hidden="false" customHeight="true" outlineLevel="0" collapsed="false">
      <c r="A39" s="39" t="str">
        <f aca="false">IF($K39="","",37)</f>
        <v/>
      </c>
      <c r="B39" s="26" t="str">
        <f aca="false">IF($K39="","",INDEX('All Devices (Master)'!$D:$D,$K39))</f>
        <v/>
      </c>
      <c r="C39" s="26" t="str">
        <f aca="false">IF($K39="","",INDEX('All Devices (Master)'!$E:$E,$K39))</f>
        <v/>
      </c>
      <c r="D39" s="26" t="str">
        <f aca="false">IF($K39="","",INDEX('All Devices (Master)'!$F:$F,$K39))</f>
        <v/>
      </c>
      <c r="E39" s="26" t="str">
        <f aca="false">IF($K39="","",INDEX('All Devices (Master)'!$G:$G,$K39))</f>
        <v/>
      </c>
      <c r="F39" s="26" t="str">
        <f aca="false">IF($K39="","",IF(INDEX('All Devices (Master)'!$H:$H,$K39)=0,"",INDEX('All Devices (Master)'!$H:$H,$K39)))</f>
        <v/>
      </c>
      <c r="G39" s="26" t="str">
        <f aca="false">IF($K39="","",IF(INDEX('All Devices (Master)'!$I:$I,$K39)=0,"",INDEX('All Devices (Master)'!$I:$I,$K39)))</f>
        <v/>
      </c>
      <c r="H39" s="26" t="str">
        <f aca="false">IF($K39="","",IF(INDEX('All Devices (Master)'!$J:$J,$K39)=0,"",INDEX('All Devices (Master)'!$J:$J,$K39)))</f>
        <v/>
      </c>
      <c r="I39" s="26" t="str">
        <f aca="false">IF($K39="","",INDEX('All Devices (Master)'!$V:$V,$K39))</f>
        <v/>
      </c>
      <c r="K39" s="1" t="str">
        <f aca="false">IFERROR(MATCH("S1-"&amp;37,'All Devices (Master)'!$U:$U,0),"")</f>
        <v/>
      </c>
    </row>
    <row r="40" customFormat="false" ht="15" hidden="false" customHeight="true" outlineLevel="0" collapsed="false">
      <c r="A40" s="40" t="str">
        <f aca="false">IF($K40="","",38)</f>
        <v/>
      </c>
      <c r="B40" s="32" t="str">
        <f aca="false">IF($K40="","",INDEX('All Devices (Master)'!$D:$D,$K40))</f>
        <v/>
      </c>
      <c r="C40" s="32" t="str">
        <f aca="false">IF($K40="","",INDEX('All Devices (Master)'!$E:$E,$K40))</f>
        <v/>
      </c>
      <c r="D40" s="32" t="str">
        <f aca="false">IF($K40="","",INDEX('All Devices (Master)'!$F:$F,$K40))</f>
        <v/>
      </c>
      <c r="E40" s="32" t="str">
        <f aca="false">IF($K40="","",INDEX('All Devices (Master)'!$G:$G,$K40))</f>
        <v/>
      </c>
      <c r="F40" s="32" t="str">
        <f aca="false">IF($K40="","",IF(INDEX('All Devices (Master)'!$H:$H,$K40)=0,"",INDEX('All Devices (Master)'!$H:$H,$K40)))</f>
        <v/>
      </c>
      <c r="G40" s="32" t="str">
        <f aca="false">IF($K40="","",IF(INDEX('All Devices (Master)'!$I:$I,$K40)=0,"",INDEX('All Devices (Master)'!$I:$I,$K40)))</f>
        <v/>
      </c>
      <c r="H40" s="32" t="str">
        <f aca="false">IF($K40="","",IF(INDEX('All Devices (Master)'!$J:$J,$K40)=0,"",INDEX('All Devices (Master)'!$J:$J,$K40)))</f>
        <v/>
      </c>
      <c r="I40" s="32" t="str">
        <f aca="false">IF($K40="","",INDEX('All Devices (Master)'!$V:$V,$K40))</f>
        <v/>
      </c>
      <c r="K40" s="1" t="str">
        <f aca="false">IFERROR(MATCH("S1-"&amp;38,'All Devices (Master)'!$U:$U,0),"")</f>
        <v/>
      </c>
    </row>
    <row r="41" customFormat="false" ht="15" hidden="false" customHeight="true" outlineLevel="0" collapsed="false">
      <c r="A41" s="39" t="str">
        <f aca="false">IF($K41="","",39)</f>
        <v/>
      </c>
      <c r="B41" s="26" t="str">
        <f aca="false">IF($K41="","",INDEX('All Devices (Master)'!$D:$D,$K41))</f>
        <v/>
      </c>
      <c r="C41" s="26" t="str">
        <f aca="false">IF($K41="","",INDEX('All Devices (Master)'!$E:$E,$K41))</f>
        <v/>
      </c>
      <c r="D41" s="26" t="str">
        <f aca="false">IF($K41="","",INDEX('All Devices (Master)'!$F:$F,$K41))</f>
        <v/>
      </c>
      <c r="E41" s="26" t="str">
        <f aca="false">IF($K41="","",INDEX('All Devices (Master)'!$G:$G,$K41))</f>
        <v/>
      </c>
      <c r="F41" s="26" t="str">
        <f aca="false">IF($K41="","",IF(INDEX('All Devices (Master)'!$H:$H,$K41)=0,"",INDEX('All Devices (Master)'!$H:$H,$K41)))</f>
        <v/>
      </c>
      <c r="G41" s="26" t="str">
        <f aca="false">IF($K41="","",IF(INDEX('All Devices (Master)'!$I:$I,$K41)=0,"",INDEX('All Devices (Master)'!$I:$I,$K41)))</f>
        <v/>
      </c>
      <c r="H41" s="26" t="str">
        <f aca="false">IF($K41="","",IF(INDEX('All Devices (Master)'!$J:$J,$K41)=0,"",INDEX('All Devices (Master)'!$J:$J,$K41)))</f>
        <v/>
      </c>
      <c r="I41" s="26" t="str">
        <f aca="false">IF($K41="","",INDEX('All Devices (Master)'!$V:$V,$K41))</f>
        <v/>
      </c>
      <c r="K41" s="1" t="str">
        <f aca="false">IFERROR(MATCH("S1-"&amp;39,'All Devices (Master)'!$U:$U,0),"")</f>
        <v/>
      </c>
    </row>
    <row r="42" customFormat="false" ht="15" hidden="false" customHeight="true" outlineLevel="0" collapsed="false">
      <c r="A42" s="40" t="str">
        <f aca="false">IF($K42="","",40)</f>
        <v/>
      </c>
      <c r="B42" s="32" t="str">
        <f aca="false">IF($K42="","",INDEX('All Devices (Master)'!$D:$D,$K42))</f>
        <v/>
      </c>
      <c r="C42" s="32" t="str">
        <f aca="false">IF($K42="","",INDEX('All Devices (Master)'!$E:$E,$K42))</f>
        <v/>
      </c>
      <c r="D42" s="32" t="str">
        <f aca="false">IF($K42="","",INDEX('All Devices (Master)'!$F:$F,$K42))</f>
        <v/>
      </c>
      <c r="E42" s="32" t="str">
        <f aca="false">IF($K42="","",INDEX('All Devices (Master)'!$G:$G,$K42))</f>
        <v/>
      </c>
      <c r="F42" s="32" t="str">
        <f aca="false">IF($K42="","",IF(INDEX('All Devices (Master)'!$H:$H,$K42)=0,"",INDEX('All Devices (Master)'!$H:$H,$K42)))</f>
        <v/>
      </c>
      <c r="G42" s="32" t="str">
        <f aca="false">IF($K42="","",IF(INDEX('All Devices (Master)'!$I:$I,$K42)=0,"",INDEX('All Devices (Master)'!$I:$I,$K42)))</f>
        <v/>
      </c>
      <c r="H42" s="32" t="str">
        <f aca="false">IF($K42="","",IF(INDEX('All Devices (Master)'!$J:$J,$K42)=0,"",INDEX('All Devices (Master)'!$J:$J,$K42)))</f>
        <v/>
      </c>
      <c r="I42" s="32" t="str">
        <f aca="false">IF($K42="","",INDEX('All Devices (Master)'!$V:$V,$K42))</f>
        <v/>
      </c>
      <c r="K42" s="1" t="str">
        <f aca="false">IFERROR(MATCH("S1-"&amp;40,'All Devices (Master)'!$U:$U,0),"")</f>
        <v/>
      </c>
    </row>
    <row r="43" customFormat="false" ht="15" hidden="false" customHeight="true" outlineLevel="0" collapsed="false">
      <c r="A43" s="39" t="str">
        <f aca="false">IF($K43="","",41)</f>
        <v/>
      </c>
      <c r="B43" s="26" t="str">
        <f aca="false">IF($K43="","",INDEX('All Devices (Master)'!$D:$D,$K43))</f>
        <v/>
      </c>
      <c r="C43" s="26" t="str">
        <f aca="false">IF($K43="","",INDEX('All Devices (Master)'!$E:$E,$K43))</f>
        <v/>
      </c>
      <c r="D43" s="26" t="str">
        <f aca="false">IF($K43="","",INDEX('All Devices (Master)'!$F:$F,$K43))</f>
        <v/>
      </c>
      <c r="E43" s="26" t="str">
        <f aca="false">IF($K43="","",INDEX('All Devices (Master)'!$G:$G,$K43))</f>
        <v/>
      </c>
      <c r="F43" s="26" t="str">
        <f aca="false">IF($K43="","",IF(INDEX('All Devices (Master)'!$H:$H,$K43)=0,"",INDEX('All Devices (Master)'!$H:$H,$K43)))</f>
        <v/>
      </c>
      <c r="G43" s="26" t="str">
        <f aca="false">IF($K43="","",IF(INDEX('All Devices (Master)'!$I:$I,$K43)=0,"",INDEX('All Devices (Master)'!$I:$I,$K43)))</f>
        <v/>
      </c>
      <c r="H43" s="26" t="str">
        <f aca="false">IF($K43="","",IF(INDEX('All Devices (Master)'!$J:$J,$K43)=0,"",INDEX('All Devices (Master)'!$J:$J,$K43)))</f>
        <v/>
      </c>
      <c r="I43" s="26" t="str">
        <f aca="false">IF($K43="","",INDEX('All Devices (Master)'!$V:$V,$K43))</f>
        <v/>
      </c>
      <c r="K43" s="1" t="str">
        <f aca="false">IFERROR(MATCH("S1-"&amp;41,'All Devices (Master)'!$U:$U,0),"")</f>
        <v/>
      </c>
    </row>
    <row r="44" customFormat="false" ht="15" hidden="false" customHeight="true" outlineLevel="0" collapsed="false">
      <c r="A44" s="40" t="str">
        <f aca="false">IF($K44="","",42)</f>
        <v/>
      </c>
      <c r="B44" s="32" t="str">
        <f aca="false">IF($K44="","",INDEX('All Devices (Master)'!$D:$D,$K44))</f>
        <v/>
      </c>
      <c r="C44" s="32" t="str">
        <f aca="false">IF($K44="","",INDEX('All Devices (Master)'!$E:$E,$K44))</f>
        <v/>
      </c>
      <c r="D44" s="32" t="str">
        <f aca="false">IF($K44="","",INDEX('All Devices (Master)'!$F:$F,$K44))</f>
        <v/>
      </c>
      <c r="E44" s="32" t="str">
        <f aca="false">IF($K44="","",INDEX('All Devices (Master)'!$G:$G,$K44))</f>
        <v/>
      </c>
      <c r="F44" s="32" t="str">
        <f aca="false">IF($K44="","",IF(INDEX('All Devices (Master)'!$H:$H,$K44)=0,"",INDEX('All Devices (Master)'!$H:$H,$K44)))</f>
        <v/>
      </c>
      <c r="G44" s="32" t="str">
        <f aca="false">IF($K44="","",IF(INDEX('All Devices (Master)'!$I:$I,$K44)=0,"",INDEX('All Devices (Master)'!$I:$I,$K44)))</f>
        <v/>
      </c>
      <c r="H44" s="32" t="str">
        <f aca="false">IF($K44="","",IF(INDEX('All Devices (Master)'!$J:$J,$K44)=0,"",INDEX('All Devices (Master)'!$J:$J,$K44)))</f>
        <v/>
      </c>
      <c r="I44" s="32" t="str">
        <f aca="false">IF($K44="","",INDEX('All Devices (Master)'!$V:$V,$K44))</f>
        <v/>
      </c>
      <c r="K44" s="1" t="str">
        <f aca="false">IFERROR(MATCH("S1-"&amp;42,'All Devices (Master)'!$U:$U,0),"")</f>
        <v/>
      </c>
    </row>
    <row r="45" customFormat="false" ht="15" hidden="false" customHeight="true" outlineLevel="0" collapsed="false">
      <c r="A45" s="39" t="str">
        <f aca="false">IF($K45="","",43)</f>
        <v/>
      </c>
      <c r="B45" s="26" t="str">
        <f aca="false">IF($K45="","",INDEX('All Devices (Master)'!$D:$D,$K45))</f>
        <v/>
      </c>
      <c r="C45" s="26" t="str">
        <f aca="false">IF($K45="","",INDEX('All Devices (Master)'!$E:$E,$K45))</f>
        <v/>
      </c>
      <c r="D45" s="26" t="str">
        <f aca="false">IF($K45="","",INDEX('All Devices (Master)'!$F:$F,$K45))</f>
        <v/>
      </c>
      <c r="E45" s="26" t="str">
        <f aca="false">IF($K45="","",INDEX('All Devices (Master)'!$G:$G,$K45))</f>
        <v/>
      </c>
      <c r="F45" s="26" t="str">
        <f aca="false">IF($K45="","",IF(INDEX('All Devices (Master)'!$H:$H,$K45)=0,"",INDEX('All Devices (Master)'!$H:$H,$K45)))</f>
        <v/>
      </c>
      <c r="G45" s="26" t="str">
        <f aca="false">IF($K45="","",IF(INDEX('All Devices (Master)'!$I:$I,$K45)=0,"",INDEX('All Devices (Master)'!$I:$I,$K45)))</f>
        <v/>
      </c>
      <c r="H45" s="26" t="str">
        <f aca="false">IF($K45="","",IF(INDEX('All Devices (Master)'!$J:$J,$K45)=0,"",INDEX('All Devices (Master)'!$J:$J,$K45)))</f>
        <v/>
      </c>
      <c r="I45" s="26" t="str">
        <f aca="false">IF($K45="","",INDEX('All Devices (Master)'!$V:$V,$K45))</f>
        <v/>
      </c>
      <c r="K45" s="1" t="str">
        <f aca="false">IFERROR(MATCH("S1-"&amp;43,'All Devices (Master)'!$U:$U,0),"")</f>
        <v/>
      </c>
    </row>
    <row r="46" customFormat="false" ht="15" hidden="false" customHeight="true" outlineLevel="0" collapsed="false">
      <c r="A46" s="40" t="str">
        <f aca="false">IF($K46="","",44)</f>
        <v/>
      </c>
      <c r="B46" s="32" t="str">
        <f aca="false">IF($K46="","",INDEX('All Devices (Master)'!$D:$D,$K46))</f>
        <v/>
      </c>
      <c r="C46" s="32" t="str">
        <f aca="false">IF($K46="","",INDEX('All Devices (Master)'!$E:$E,$K46))</f>
        <v/>
      </c>
      <c r="D46" s="32" t="str">
        <f aca="false">IF($K46="","",INDEX('All Devices (Master)'!$F:$F,$K46))</f>
        <v/>
      </c>
      <c r="E46" s="32" t="str">
        <f aca="false">IF($K46="","",INDEX('All Devices (Master)'!$G:$G,$K46))</f>
        <v/>
      </c>
      <c r="F46" s="32" t="str">
        <f aca="false">IF($K46="","",IF(INDEX('All Devices (Master)'!$H:$H,$K46)=0,"",INDEX('All Devices (Master)'!$H:$H,$K46)))</f>
        <v/>
      </c>
      <c r="G46" s="32" t="str">
        <f aca="false">IF($K46="","",IF(INDEX('All Devices (Master)'!$I:$I,$K46)=0,"",INDEX('All Devices (Master)'!$I:$I,$K46)))</f>
        <v/>
      </c>
      <c r="H46" s="32" t="str">
        <f aca="false">IF($K46="","",IF(INDEX('All Devices (Master)'!$J:$J,$K46)=0,"",INDEX('All Devices (Master)'!$J:$J,$K46)))</f>
        <v/>
      </c>
      <c r="I46" s="32" t="str">
        <f aca="false">IF($K46="","",INDEX('All Devices (Master)'!$V:$V,$K46))</f>
        <v/>
      </c>
      <c r="K46" s="1" t="str">
        <f aca="false">IFERROR(MATCH("S1-"&amp;44,'All Devices (Master)'!$U:$U,0),"")</f>
        <v/>
      </c>
    </row>
    <row r="47" customFormat="false" ht="15" hidden="false" customHeight="true" outlineLevel="0" collapsed="false">
      <c r="A47" s="39" t="str">
        <f aca="false">IF($K47="","",45)</f>
        <v/>
      </c>
      <c r="B47" s="26" t="str">
        <f aca="false">IF($K47="","",INDEX('All Devices (Master)'!$D:$D,$K47))</f>
        <v/>
      </c>
      <c r="C47" s="26" t="str">
        <f aca="false">IF($K47="","",INDEX('All Devices (Master)'!$E:$E,$K47))</f>
        <v/>
      </c>
      <c r="D47" s="26" t="str">
        <f aca="false">IF($K47="","",INDEX('All Devices (Master)'!$F:$F,$K47))</f>
        <v/>
      </c>
      <c r="E47" s="26" t="str">
        <f aca="false">IF($K47="","",INDEX('All Devices (Master)'!$G:$G,$K47))</f>
        <v/>
      </c>
      <c r="F47" s="26" t="str">
        <f aca="false">IF($K47="","",IF(INDEX('All Devices (Master)'!$H:$H,$K47)=0,"",INDEX('All Devices (Master)'!$H:$H,$K47)))</f>
        <v/>
      </c>
      <c r="G47" s="26" t="str">
        <f aca="false">IF($K47="","",IF(INDEX('All Devices (Master)'!$I:$I,$K47)=0,"",INDEX('All Devices (Master)'!$I:$I,$K47)))</f>
        <v/>
      </c>
      <c r="H47" s="26" t="str">
        <f aca="false">IF($K47="","",IF(INDEX('All Devices (Master)'!$J:$J,$K47)=0,"",INDEX('All Devices (Master)'!$J:$J,$K47)))</f>
        <v/>
      </c>
      <c r="I47" s="26" t="str">
        <f aca="false">IF($K47="","",INDEX('All Devices (Master)'!$V:$V,$K47))</f>
        <v/>
      </c>
      <c r="K47" s="1" t="str">
        <f aca="false">IFERROR(MATCH("S1-"&amp;45,'All Devices (Master)'!$U:$U,0),"")</f>
        <v/>
      </c>
    </row>
  </sheetData>
  <autoFilter ref="A2:I47"/>
  <mergeCells count="1">
    <mergeCell ref="A1:I1"/>
  </mergeCells>
  <conditionalFormatting sqref="I3:I47">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4" t="s">
        <v>460</v>
      </c>
      <c r="B1" s="44"/>
      <c r="C1" s="44"/>
      <c r="D1" s="44"/>
      <c r="E1" s="44"/>
      <c r="F1" s="44"/>
      <c r="G1" s="44"/>
      <c r="H1" s="44"/>
      <c r="I1" s="44"/>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Negambo 02</v>
      </c>
      <c r="D3" s="26" t="str">
        <f aca="false">IF($K3="","",INDEX('All Devices (Master)'!$F:$F,$K3))</f>
        <v>CDQ9184760006</v>
      </c>
      <c r="E3" s="26" t="str">
        <f aca="false">IF($K3="","",INDEX('All Devices (Master)'!$G:$G,$K3))</f>
        <v>Working, Have to Repair</v>
      </c>
      <c r="F3" s="26" t="str">
        <f aca="false">IF($K3="","",IF(INDEX('All Devices (Master)'!$H:$H,$K3)=0,"",INDEX('All Devices (Master)'!$H:$H,$K3)))</f>
        <v/>
      </c>
      <c r="G3" s="26" t="str">
        <f aca="false">IF($K3="","",IF(INDEX('All Devices (Master)'!$I:$I,$K3)=0,"",INDEX('All Devices (Master)'!$I:$I,$K3)))</f>
        <v>Keypad have to repair</v>
      </c>
      <c r="H3" s="26" t="str">
        <f aca="false">IF($K3="","",IF(INDEX('All Devices (Master)'!$J:$J,$K3)=0,"",INDEX('All Devices (Master)'!$J:$J,$K3)))</f>
        <v>Colour</v>
      </c>
      <c r="I3" s="26" t="str">
        <f aca="false">IF($K3="","",INDEX('All Devices (Master)'!$V:$V,$K3))</f>
        <v/>
      </c>
      <c r="K3" s="1" t="n">
        <f aca="false">IFERROR(MATCH("K1-"&amp;1,'All Devices (Master)'!$U:$U,0),"")</f>
        <v>11</v>
      </c>
    </row>
    <row r="4" customFormat="false" ht="15" hidden="false" customHeight="true" outlineLevel="0" collapsed="false">
      <c r="A4" s="40" t="n">
        <f aca="false">IF($K4="","",2)</f>
        <v>2</v>
      </c>
      <c r="B4" s="32" t="str">
        <f aca="false">IF($K4="","",INDEX('All Devices (Master)'!$D:$D,$K4))</f>
        <v>X628</v>
      </c>
      <c r="C4" s="32" t="str">
        <f aca="false">IF($K4="","",INDEX('All Devices (Master)'!$E:$E,$K4))</f>
        <v>Minuwangoda</v>
      </c>
      <c r="D4" s="32" t="str">
        <f aca="false">IF($K4="","",INDEX('All Devices (Master)'!$F:$F,$K4))</f>
        <v>A5SA182160001</v>
      </c>
      <c r="E4" s="32" t="str">
        <f aca="false">IF($K4="","",INDEX('All Devices (Master)'!$G:$G,$K4))</f>
        <v>Working</v>
      </c>
      <c r="F4" s="32" t="str">
        <f aca="false">IF($K4="","",IF(INDEX('All Devices (Master)'!$H:$H,$K4)=0,"",INDEX('All Devices (Master)'!$H:$H,$K4)))</f>
        <v/>
      </c>
      <c r="G4" s="32" t="str">
        <f aca="false">IF($K4="","",IF(INDEX('All Devices (Master)'!$I:$I,$K4)=0,"",INDEX('All Devices (Master)'!$I:$I,$K4)))</f>
        <v>Have to repair keypad</v>
      </c>
      <c r="H4" s="32" t="str">
        <f aca="false">IF($K4="","",IF(INDEX('All Devices (Master)'!$J:$J,$K4)=0,"",INDEX('All Devices (Master)'!$J:$J,$K4)))</f>
        <v>Black &amp; White</v>
      </c>
      <c r="I4" s="32" t="str">
        <f aca="false">IF($K4="","",INDEX('All Devices (Master)'!$V:$V,$K4))</f>
        <v/>
      </c>
      <c r="K4" s="1" t="n">
        <f aca="false">IFERROR(MATCH("K1-"&amp;2,'All Devices (Master)'!$U:$U,0),"")</f>
        <v>15</v>
      </c>
    </row>
    <row r="5" customFormat="false" ht="15" hidden="false" customHeight="true" outlineLevel="0" collapsed="false">
      <c r="A5" s="39" t="n">
        <f aca="false">IF($K5="","",3)</f>
        <v>3</v>
      </c>
      <c r="B5" s="26" t="str">
        <f aca="false">IF($K5="","",INDEX('All Devices (Master)'!$D:$D,$K5))</f>
        <v>X628</v>
      </c>
      <c r="C5" s="26" t="str">
        <f aca="false">IF($K5="","",INDEX('All Devices (Master)'!$E:$E,$K5))</f>
        <v>Attidiya 02</v>
      </c>
      <c r="D5" s="26" t="str">
        <f aca="false">IF($K5="","",INDEX('All Devices (Master)'!$F:$F,$K5))</f>
        <v>A5RN173460002</v>
      </c>
      <c r="E5" s="26" t="str">
        <f aca="false">IF($K5="","",INDEX('All Devices (Master)'!$G:$G,$K5))</f>
        <v>Working</v>
      </c>
      <c r="F5" s="26" t="str">
        <f aca="false">IF($K5="","",IF(INDEX('All Devices (Master)'!$H:$H,$K5)=0,"",INDEX('All Devices (Master)'!$H:$H,$K5)))</f>
        <v/>
      </c>
      <c r="G5" s="26" t="str">
        <f aca="false">IF($K5="","",IF(INDEX('All Devices (Master)'!$I:$I,$K5)=0,"",INDEX('All Devices (Master)'!$I:$I,$K5)))</f>
        <v>Not have Power Supply, Keypad Issue</v>
      </c>
      <c r="H5" s="26" t="str">
        <f aca="false">IF($K5="","",IF(INDEX('All Devices (Master)'!$J:$J,$K5)=0,"",INDEX('All Devices (Master)'!$J:$J,$K5)))</f>
        <v>Black &amp; White</v>
      </c>
      <c r="I5" s="26" t="str">
        <f aca="false">IF($K5="","",INDEX('All Devices (Master)'!$V:$V,$K5))</f>
        <v>Multiple fault types detected - review full details before repair</v>
      </c>
      <c r="K5" s="1" t="n">
        <f aca="false">IFERROR(MATCH("K1-"&amp;3,'All Devices (Master)'!$U:$U,0),"")</f>
        <v>103</v>
      </c>
    </row>
    <row r="6" customFormat="false" ht="15" hidden="false" customHeight="true" outlineLevel="0" collapsed="false">
      <c r="A6" s="40" t="str">
        <f aca="false">IF($K6="","",4)</f>
        <v/>
      </c>
      <c r="B6" s="32" t="str">
        <f aca="false">IF($K6="","",INDEX('All Devices (Master)'!$D:$D,$K6))</f>
        <v/>
      </c>
      <c r="C6" s="32" t="str">
        <f aca="false">IF($K6="","",INDEX('All Devices (Master)'!$E:$E,$K6))</f>
        <v/>
      </c>
      <c r="D6" s="32" t="str">
        <f aca="false">IF($K6="","",INDEX('All Devices (Master)'!$F:$F,$K6))</f>
        <v/>
      </c>
      <c r="E6" s="32" t="str">
        <f aca="false">IF($K6="","",INDEX('All Devices (Master)'!$G:$G,$K6))</f>
        <v/>
      </c>
      <c r="F6" s="32" t="str">
        <f aca="false">IF($K6="","",IF(INDEX('All Devices (Master)'!$H:$H,$K6)=0,"",INDEX('All Devices (Master)'!$H:$H,$K6)))</f>
        <v/>
      </c>
      <c r="G6" s="32" t="str">
        <f aca="false">IF($K6="","",IF(INDEX('All Devices (Master)'!$I:$I,$K6)=0,"",INDEX('All Devices (Master)'!$I:$I,$K6)))</f>
        <v/>
      </c>
      <c r="H6" s="32" t="str">
        <f aca="false">IF($K6="","",IF(INDEX('All Devices (Master)'!$J:$J,$K6)=0,"",INDEX('All Devices (Master)'!$J:$J,$K6)))</f>
        <v/>
      </c>
      <c r="I6" s="32" t="str">
        <f aca="false">IF($K6="","",INDEX('All Devices (Master)'!$V:$V,$K6))</f>
        <v/>
      </c>
      <c r="K6" s="1" t="str">
        <f aca="false">IFERROR(MATCH("K1-"&amp;4,'All Devices (Master)'!$U:$U,0),"")</f>
        <v/>
      </c>
    </row>
    <row r="7" customFormat="false" ht="15" hidden="false" customHeight="true" outlineLevel="0" collapsed="false">
      <c r="A7" s="39" t="str">
        <f aca="false">IF($K7="","",5)</f>
        <v/>
      </c>
      <c r="B7" s="26" t="str">
        <f aca="false">IF($K7="","",INDEX('All Devices (Master)'!$D:$D,$K7))</f>
        <v/>
      </c>
      <c r="C7" s="26" t="str">
        <f aca="false">IF($K7="","",INDEX('All Devices (Master)'!$E:$E,$K7))</f>
        <v/>
      </c>
      <c r="D7" s="26" t="str">
        <f aca="false">IF($K7="","",INDEX('All Devices (Master)'!$F:$F,$K7))</f>
        <v/>
      </c>
      <c r="E7" s="26" t="str">
        <f aca="false">IF($K7="","",INDEX('All Devices (Master)'!$G:$G,$K7))</f>
        <v/>
      </c>
      <c r="F7" s="26" t="str">
        <f aca="false">IF($K7="","",IF(INDEX('All Devices (Master)'!$H:$H,$K7)=0,"",INDEX('All Devices (Master)'!$H:$H,$K7)))</f>
        <v/>
      </c>
      <c r="G7" s="26" t="str">
        <f aca="false">IF($K7="","",IF(INDEX('All Devices (Master)'!$I:$I,$K7)=0,"",INDEX('All Devices (Master)'!$I:$I,$K7)))</f>
        <v/>
      </c>
      <c r="H7" s="26" t="str">
        <f aca="false">IF($K7="","",IF(INDEX('All Devices (Master)'!$J:$J,$K7)=0,"",INDEX('All Devices (Master)'!$J:$J,$K7)))</f>
        <v/>
      </c>
      <c r="I7" s="26" t="str">
        <f aca="false">IF($K7="","",INDEX('All Devices (Master)'!$V:$V,$K7))</f>
        <v/>
      </c>
      <c r="K7" s="1" t="str">
        <f aca="false">IFERROR(MATCH("K1-"&amp;5,'All Devices (Master)'!$U:$U,0),"")</f>
        <v/>
      </c>
    </row>
    <row r="8" customFormat="false" ht="15" hidden="false" customHeight="true" outlineLevel="0" collapsed="false">
      <c r="A8" s="40" t="str">
        <f aca="false">IF($K8="","",6)</f>
        <v/>
      </c>
      <c r="B8" s="32" t="str">
        <f aca="false">IF($K8="","",INDEX('All Devices (Master)'!$D:$D,$K8))</f>
        <v/>
      </c>
      <c r="C8" s="32" t="str">
        <f aca="false">IF($K8="","",INDEX('All Devices (Master)'!$E:$E,$K8))</f>
        <v/>
      </c>
      <c r="D8" s="32" t="str">
        <f aca="false">IF($K8="","",INDEX('All Devices (Master)'!$F:$F,$K8))</f>
        <v/>
      </c>
      <c r="E8" s="32" t="str">
        <f aca="false">IF($K8="","",INDEX('All Devices (Master)'!$G:$G,$K8))</f>
        <v/>
      </c>
      <c r="F8" s="32" t="str">
        <f aca="false">IF($K8="","",IF(INDEX('All Devices (Master)'!$H:$H,$K8)=0,"",INDEX('All Devices (Master)'!$H:$H,$K8)))</f>
        <v/>
      </c>
      <c r="G8" s="32" t="str">
        <f aca="false">IF($K8="","",IF(INDEX('All Devices (Master)'!$I:$I,$K8)=0,"",INDEX('All Devices (Master)'!$I:$I,$K8)))</f>
        <v/>
      </c>
      <c r="H8" s="32" t="str">
        <f aca="false">IF($K8="","",IF(INDEX('All Devices (Master)'!$J:$J,$K8)=0,"",INDEX('All Devices (Master)'!$J:$J,$K8)))</f>
        <v/>
      </c>
      <c r="I8" s="32" t="str">
        <f aca="false">IF($K8="","",INDEX('All Devices (Master)'!$V:$V,$K8))</f>
        <v/>
      </c>
      <c r="K8" s="1" t="str">
        <f aca="false">IFERROR(MATCH("K1-"&amp;6,'All Devices (Master)'!$U:$U,0),"")</f>
        <v/>
      </c>
    </row>
    <row r="9" customFormat="false" ht="15" hidden="false" customHeight="true" outlineLevel="0" collapsed="false">
      <c r="A9" s="39" t="str">
        <f aca="false">IF($K9="","",7)</f>
        <v/>
      </c>
      <c r="B9" s="26" t="str">
        <f aca="false">IF($K9="","",INDEX('All Devices (Master)'!$D:$D,$K9))</f>
        <v/>
      </c>
      <c r="C9" s="26" t="str">
        <f aca="false">IF($K9="","",INDEX('All Devices (Master)'!$E:$E,$K9))</f>
        <v/>
      </c>
      <c r="D9" s="26" t="str">
        <f aca="false">IF($K9="","",INDEX('All Devices (Master)'!$F:$F,$K9))</f>
        <v/>
      </c>
      <c r="E9" s="26" t="str">
        <f aca="false">IF($K9="","",INDEX('All Devices (Master)'!$G:$G,$K9))</f>
        <v/>
      </c>
      <c r="F9" s="26" t="str">
        <f aca="false">IF($K9="","",IF(INDEX('All Devices (Master)'!$H:$H,$K9)=0,"",INDEX('All Devices (Master)'!$H:$H,$K9)))</f>
        <v/>
      </c>
      <c r="G9" s="26" t="str">
        <f aca="false">IF($K9="","",IF(INDEX('All Devices (Master)'!$I:$I,$K9)=0,"",INDEX('All Devices (Master)'!$I:$I,$K9)))</f>
        <v/>
      </c>
      <c r="H9" s="26" t="str">
        <f aca="false">IF($K9="","",IF(INDEX('All Devices (Master)'!$J:$J,$K9)=0,"",INDEX('All Devices (Master)'!$J:$J,$K9)))</f>
        <v/>
      </c>
      <c r="I9" s="26" t="str">
        <f aca="false">IF($K9="","",INDEX('All Devices (Master)'!$V:$V,$K9))</f>
        <v/>
      </c>
      <c r="K9" s="1" t="str">
        <f aca="false">IFERROR(MATCH("K1-"&amp;7,'All Devices (Master)'!$U:$U,0),"")</f>
        <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IFERROR(MATCH("K1-"&amp;8,'All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IFERROR(MATCH("K1-"&amp;9,'All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IFERROR(MATCH("K1-"&amp;10,'All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IFERROR(MATCH("K1-"&amp;11,'All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IFERROR(MATCH("K1-"&amp;12,'All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IFERROR(MATCH("K1-"&amp;13,'All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IFERROR(MATCH("K1-"&amp;14,'All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IFERROR(MATCH("K1-"&amp;15,'All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IFERROR(MATCH("K1-"&amp;16,'All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IFERROR(MATCH("K1-"&amp;17,'All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IFERROR(MATCH("K1-"&amp;18,'All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IFERROR(MATCH("K1-"&amp;19,'All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IFERROR(MATCH("K1-"&amp;20,'All Devices (Master)'!$U:$U,0),"")</f>
        <v/>
      </c>
    </row>
  </sheetData>
  <autoFilter ref="A2:I22"/>
  <mergeCells count="1">
    <mergeCell ref="A1:I1"/>
  </mergeCells>
  <conditionalFormatting sqref="I3:I22">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5" t="s">
        <v>461</v>
      </c>
      <c r="B1" s="45"/>
      <c r="C1" s="45"/>
      <c r="D1" s="45"/>
      <c r="E1" s="45"/>
      <c r="F1" s="45"/>
      <c r="G1" s="45"/>
      <c r="H1" s="45"/>
      <c r="I1" s="45"/>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Kandy 02</v>
      </c>
      <c r="D3" s="26" t="str">
        <f aca="false">IF($K3="","",INDEX('All Devices (Master)'!$F:$F,$K3))</f>
        <v>A5SA182160003</v>
      </c>
      <c r="E3" s="26" t="str">
        <f aca="false">IF($K3="","",INDEX('All Devices (Master)'!$G:$G,$K3))</f>
        <v>Working, No Power Supply</v>
      </c>
      <c r="F3" s="26" t="str">
        <f aca="false">IF($K3="","",IF(INDEX('All Devices (Master)'!$H:$H,$K3)=0,"",INDEX('All Devices (Master)'!$H:$H,$K3)))</f>
        <v/>
      </c>
      <c r="G3" s="26" t="str">
        <f aca="false">IF($K3="","",IF(INDEX('All Devices (Master)'!$I:$I,$K3)=0,"",INDEX('All Devices (Master)'!$I:$I,$K3)))</f>
        <v/>
      </c>
      <c r="H3" s="26" t="str">
        <f aca="false">IF($K3="","",IF(INDEX('All Devices (Master)'!$J:$J,$K3)=0,"",INDEX('All Devices (Master)'!$J:$J,$K3)))</f>
        <v>Black &amp; White</v>
      </c>
      <c r="I3" s="26" t="str">
        <f aca="false">IF($K3="","",INDEX('All Devices (Master)'!$V:$V,$K3))</f>
        <v/>
      </c>
      <c r="K3" s="1" t="n">
        <f aca="false">IFERROR(MATCH("P1-"&amp;1,'All Devices (Master)'!$U:$U,0),"")</f>
        <v>3</v>
      </c>
    </row>
    <row r="4" customFormat="false" ht="15" hidden="false" customHeight="true" outlineLevel="0" collapsed="false">
      <c r="A4" s="40" t="n">
        <f aca="false">IF($K4="","",2)</f>
        <v>2</v>
      </c>
      <c r="B4" s="32" t="str">
        <f aca="false">IF($K4="","",INDEX('All Devices (Master)'!$D:$D,$K4))</f>
        <v>iClock3000</v>
      </c>
      <c r="C4" s="32" t="str">
        <f aca="false">IF($K4="","",INDEX('All Devices (Master)'!$E:$E,$K4))</f>
        <v>Gothatuwa</v>
      </c>
      <c r="D4" s="32" t="str">
        <f aca="false">IF($K4="","",INDEX('All Devices (Master)'!$F:$F,$K4))</f>
        <v>A7PT18036001</v>
      </c>
      <c r="E4" s="32" t="str">
        <f aca="false">IF($K4="","",INDEX('All Devices (Master)'!$G:$G,$K4))</f>
        <v>No Power Supply</v>
      </c>
      <c r="F4" s="32" t="str">
        <f aca="false">IF($K4="","",IF(INDEX('All Devices (Master)'!$H:$H,$K4)=0,"",INDEX('All Devices (Master)'!$H:$H,$K4)))</f>
        <v/>
      </c>
      <c r="G4" s="32" t="str">
        <f aca="false">IF($K4="","",IF(INDEX('All Devices (Master)'!$I:$I,$K4)=0,"",INDEX('All Devices (Master)'!$I:$I,$K4)))</f>
        <v/>
      </c>
      <c r="H4" s="32" t="str">
        <f aca="false">IF($K4="","",IF(INDEX('All Devices (Master)'!$J:$J,$K4)=0,"",INDEX('All Devices (Master)'!$J:$J,$K4)))</f>
        <v/>
      </c>
      <c r="I4" s="32" t="str">
        <f aca="false">IF($K4="","",INDEX('All Devices (Master)'!$V:$V,$K4))</f>
        <v/>
      </c>
      <c r="K4" s="1" t="n">
        <f aca="false">IFERROR(MATCH("P1-"&amp;2,'All Devices (Master)'!$U:$U,0),"")</f>
        <v>21</v>
      </c>
    </row>
    <row r="5" customFormat="false" ht="15" hidden="false" customHeight="true" outlineLevel="0" collapsed="false">
      <c r="A5" s="39" t="n">
        <f aca="false">IF($K5="","",3)</f>
        <v>3</v>
      </c>
      <c r="B5" s="26" t="str">
        <f aca="false">IF($K5="","",INDEX('All Devices (Master)'!$D:$D,$K5))</f>
        <v>TX628</v>
      </c>
      <c r="C5" s="26" t="str">
        <f aca="false">IF($K5="","",INDEX('All Devices (Master)'!$E:$E,$K5))</f>
        <v>Awissawella</v>
      </c>
      <c r="D5" s="26" t="str">
        <f aca="false">IF($K5="","",INDEX('All Devices (Master)'!$F:$F,$K5))</f>
        <v>6160062170011</v>
      </c>
      <c r="E5" s="26" t="str">
        <f aca="false">IF($K5="","",INDEX('All Devices (Master)'!$G:$G,$K5))</f>
        <v>Working, Have to Repair</v>
      </c>
      <c r="F5" s="26" t="str">
        <f aca="false">IF($K5="","",IF(INDEX('All Devices (Master)'!$H:$H,$K5)=0,"",INDEX('All Devices (Master)'!$H:$H,$K5)))</f>
        <v/>
      </c>
      <c r="G5" s="26" t="str">
        <f aca="false">IF($K5="","",IF(INDEX('All Devices (Master)'!$I:$I,$K5)=0,"",INDEX('All Devices (Master)'!$I:$I,$K5)))</f>
        <v>As soon as it turn it on, it switches off again by itself.</v>
      </c>
      <c r="H5" s="26" t="str">
        <f aca="false">IF($K5="","",IF(INDEX('All Devices (Master)'!$J:$J,$K5)=0,"",INDEX('All Devices (Master)'!$J:$J,$K5)))</f>
        <v>Colour</v>
      </c>
      <c r="I5" s="26" t="str">
        <f aca="false">IF($K5="","",INDEX('All Devices (Master)'!$V:$V,$K5))</f>
        <v/>
      </c>
      <c r="K5" s="1" t="n">
        <f aca="false">IFERROR(MATCH("P1-"&amp;3,'All Devices (Master)'!$U:$U,0),"")</f>
        <v>42</v>
      </c>
    </row>
    <row r="6" customFormat="false" ht="15" hidden="false" customHeight="true" outlineLevel="0" collapsed="false">
      <c r="A6" s="40" t="n">
        <f aca="false">IF($K6="","",4)</f>
        <v>4</v>
      </c>
      <c r="B6" s="32" t="str">
        <f aca="false">IF($K6="","",INDEX('All Devices (Master)'!$D:$D,$K6))</f>
        <v>K14</v>
      </c>
      <c r="C6" s="32" t="str">
        <f aca="false">IF($K6="","",INDEX('All Devices (Master)'!$E:$E,$K6))</f>
        <v>Thalawathugoda 03</v>
      </c>
      <c r="D6" s="32" t="str">
        <f aca="false">IF($K6="","",INDEX('All Devices (Master)'!$F:$F,$K6))</f>
        <v>CQUJ224660031</v>
      </c>
      <c r="E6" s="32" t="str">
        <f aca="false">IF($K6="","",INDEX('All Devices (Master)'!$G:$G,$K6))</f>
        <v>Not Working</v>
      </c>
      <c r="F6" s="32" t="str">
        <f aca="false">IF($K6="","",IF(INDEX('All Devices (Master)'!$H:$H,$K6)=0,"",INDEX('All Devices (Master)'!$H:$H,$K6)))</f>
        <v>The device won't turn on. </v>
      </c>
      <c r="G6" s="32" t="str">
        <f aca="false">IF($K6="","",IF(INDEX('All Devices (Master)'!$I:$I,$K6)=0,"",INDEX('All Devices (Master)'!$I:$I,$K6)))</f>
        <v/>
      </c>
      <c r="H6" s="32" t="str">
        <f aca="false">IF($K6="","",IF(INDEX('All Devices (Master)'!$J:$J,$K6)=0,"",INDEX('All Devices (Master)'!$J:$J,$K6)))</f>
        <v>Black &amp; White</v>
      </c>
      <c r="I6" s="32" t="str">
        <f aca="false">IF($K6="","",INDEX('All Devices (Master)'!$V:$V,$K6))</f>
        <v/>
      </c>
      <c r="K6" s="1" t="n">
        <f aca="false">IFERROR(MATCH("P1-"&amp;4,'All Devices (Master)'!$U:$U,0),"")</f>
        <v>108</v>
      </c>
    </row>
    <row r="7" customFormat="false" ht="15" hidden="false" customHeight="true" outlineLevel="0" collapsed="false">
      <c r="A7" s="39" t="str">
        <f aca="false">IF($K7="","",5)</f>
        <v/>
      </c>
      <c r="B7" s="26" t="str">
        <f aca="false">IF($K7="","",INDEX('All Devices (Master)'!$D:$D,$K7))</f>
        <v/>
      </c>
      <c r="C7" s="26" t="str">
        <f aca="false">IF($K7="","",INDEX('All Devices (Master)'!$E:$E,$K7))</f>
        <v/>
      </c>
      <c r="D7" s="26" t="str">
        <f aca="false">IF($K7="","",INDEX('All Devices (Master)'!$F:$F,$K7))</f>
        <v/>
      </c>
      <c r="E7" s="26" t="str">
        <f aca="false">IF($K7="","",INDEX('All Devices (Master)'!$G:$G,$K7))</f>
        <v/>
      </c>
      <c r="F7" s="26" t="str">
        <f aca="false">IF($K7="","",IF(INDEX('All Devices (Master)'!$H:$H,$K7)=0,"",INDEX('All Devices (Master)'!$H:$H,$K7)))</f>
        <v/>
      </c>
      <c r="G7" s="26" t="str">
        <f aca="false">IF($K7="","",IF(INDEX('All Devices (Master)'!$I:$I,$K7)=0,"",INDEX('All Devices (Master)'!$I:$I,$K7)))</f>
        <v/>
      </c>
      <c r="H7" s="26" t="str">
        <f aca="false">IF($K7="","",IF(INDEX('All Devices (Master)'!$J:$J,$K7)=0,"",INDEX('All Devices (Master)'!$J:$J,$K7)))</f>
        <v/>
      </c>
      <c r="I7" s="26" t="str">
        <f aca="false">IF($K7="","",INDEX('All Devices (Master)'!$V:$V,$K7))</f>
        <v/>
      </c>
      <c r="K7" s="1" t="str">
        <f aca="false">IFERROR(MATCH("P1-"&amp;5,'All Devices (Master)'!$U:$U,0),"")</f>
        <v/>
      </c>
    </row>
    <row r="8" customFormat="false" ht="15" hidden="false" customHeight="true" outlineLevel="0" collapsed="false">
      <c r="A8" s="40" t="str">
        <f aca="false">IF($K8="","",6)</f>
        <v/>
      </c>
      <c r="B8" s="32" t="str">
        <f aca="false">IF($K8="","",INDEX('All Devices (Master)'!$D:$D,$K8))</f>
        <v/>
      </c>
      <c r="C8" s="32" t="str">
        <f aca="false">IF($K8="","",INDEX('All Devices (Master)'!$E:$E,$K8))</f>
        <v/>
      </c>
      <c r="D8" s="32" t="str">
        <f aca="false">IF($K8="","",INDEX('All Devices (Master)'!$F:$F,$K8))</f>
        <v/>
      </c>
      <c r="E8" s="32" t="str">
        <f aca="false">IF($K8="","",INDEX('All Devices (Master)'!$G:$G,$K8))</f>
        <v/>
      </c>
      <c r="F8" s="32" t="str">
        <f aca="false">IF($K8="","",IF(INDEX('All Devices (Master)'!$H:$H,$K8)=0,"",INDEX('All Devices (Master)'!$H:$H,$K8)))</f>
        <v/>
      </c>
      <c r="G8" s="32" t="str">
        <f aca="false">IF($K8="","",IF(INDEX('All Devices (Master)'!$I:$I,$K8)=0,"",INDEX('All Devices (Master)'!$I:$I,$K8)))</f>
        <v/>
      </c>
      <c r="H8" s="32" t="str">
        <f aca="false">IF($K8="","",IF(INDEX('All Devices (Master)'!$J:$J,$K8)=0,"",INDEX('All Devices (Master)'!$J:$J,$K8)))</f>
        <v/>
      </c>
      <c r="I8" s="32" t="str">
        <f aca="false">IF($K8="","",INDEX('All Devices (Master)'!$V:$V,$K8))</f>
        <v/>
      </c>
      <c r="K8" s="1" t="str">
        <f aca="false">IFERROR(MATCH("P1-"&amp;6,'All Devices (Master)'!$U:$U,0),"")</f>
        <v/>
      </c>
    </row>
    <row r="9" customFormat="false" ht="15" hidden="false" customHeight="true" outlineLevel="0" collapsed="false">
      <c r="A9" s="39" t="str">
        <f aca="false">IF($K9="","",7)</f>
        <v/>
      </c>
      <c r="B9" s="26" t="str">
        <f aca="false">IF($K9="","",INDEX('All Devices (Master)'!$D:$D,$K9))</f>
        <v/>
      </c>
      <c r="C9" s="26" t="str">
        <f aca="false">IF($K9="","",INDEX('All Devices (Master)'!$E:$E,$K9))</f>
        <v/>
      </c>
      <c r="D9" s="26" t="str">
        <f aca="false">IF($K9="","",INDEX('All Devices (Master)'!$F:$F,$K9))</f>
        <v/>
      </c>
      <c r="E9" s="26" t="str">
        <f aca="false">IF($K9="","",INDEX('All Devices (Master)'!$G:$G,$K9))</f>
        <v/>
      </c>
      <c r="F9" s="26" t="str">
        <f aca="false">IF($K9="","",IF(INDEX('All Devices (Master)'!$H:$H,$K9)=0,"",INDEX('All Devices (Master)'!$H:$H,$K9)))</f>
        <v/>
      </c>
      <c r="G9" s="26" t="str">
        <f aca="false">IF($K9="","",IF(INDEX('All Devices (Master)'!$I:$I,$K9)=0,"",INDEX('All Devices (Master)'!$I:$I,$K9)))</f>
        <v/>
      </c>
      <c r="H9" s="26" t="str">
        <f aca="false">IF($K9="","",IF(INDEX('All Devices (Master)'!$J:$J,$K9)=0,"",INDEX('All Devices (Master)'!$J:$J,$K9)))</f>
        <v/>
      </c>
      <c r="I9" s="26" t="str">
        <f aca="false">IF($K9="","",INDEX('All Devices (Master)'!$V:$V,$K9))</f>
        <v/>
      </c>
      <c r="K9" s="1" t="str">
        <f aca="false">IFERROR(MATCH("P1-"&amp;7,'All Devices (Master)'!$U:$U,0),"")</f>
        <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IFERROR(MATCH("P1-"&amp;8,'All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IFERROR(MATCH("P1-"&amp;9,'All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IFERROR(MATCH("P1-"&amp;10,'All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IFERROR(MATCH("P1-"&amp;11,'All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IFERROR(MATCH("P1-"&amp;12,'All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IFERROR(MATCH("P1-"&amp;13,'All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IFERROR(MATCH("P1-"&amp;14,'All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IFERROR(MATCH("P1-"&amp;15,'All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IFERROR(MATCH("P1-"&amp;16,'All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IFERROR(MATCH("P1-"&amp;17,'All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IFERROR(MATCH("P1-"&amp;18,'All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IFERROR(MATCH("P1-"&amp;19,'All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IFERROR(MATCH("P1-"&amp;20,'All Devices (Master)'!$U:$U,0),"")</f>
        <v/>
      </c>
    </row>
  </sheetData>
  <autoFilter ref="A2:I22"/>
  <mergeCells count="1">
    <mergeCell ref="A1:I1"/>
  </mergeCells>
  <conditionalFormatting sqref="I3:I22">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tru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18"/>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9" min="9" style="1" width="40"/>
    <col collapsed="false" customWidth="true" hidden="true" outlineLevel="0" max="11" min="11" style="1" width="13"/>
  </cols>
  <sheetData>
    <row r="1" customFormat="false" ht="25.5" hidden="false" customHeight="true" outlineLevel="0" collapsed="false">
      <c r="A1" s="46" t="s">
        <v>462</v>
      </c>
      <c r="B1" s="46"/>
      <c r="C1" s="46"/>
      <c r="D1" s="46"/>
      <c r="E1" s="46"/>
      <c r="F1" s="46"/>
      <c r="G1" s="46"/>
      <c r="H1" s="46"/>
      <c r="I1" s="46"/>
    </row>
    <row r="2" customFormat="false" ht="27.75" hidden="false" customHeight="true" outlineLevel="0" collapsed="false">
      <c r="A2" s="29" t="s">
        <v>102</v>
      </c>
      <c r="B2" s="29" t="s">
        <v>454</v>
      </c>
      <c r="C2" s="29" t="s">
        <v>106</v>
      </c>
      <c r="D2" s="29" t="s">
        <v>107</v>
      </c>
      <c r="E2" s="29" t="s">
        <v>108</v>
      </c>
      <c r="F2" s="29" t="s">
        <v>109</v>
      </c>
      <c r="G2" s="29" t="s">
        <v>110</v>
      </c>
      <c r="H2" s="29" t="s">
        <v>111</v>
      </c>
      <c r="I2" s="29" t="s">
        <v>123</v>
      </c>
    </row>
    <row r="3" customFormat="false" ht="15" hidden="false" customHeight="true" outlineLevel="0" collapsed="false">
      <c r="A3" s="39" t="n">
        <f aca="false">IF($K3="","",1)</f>
        <v>1</v>
      </c>
      <c r="B3" s="26" t="str">
        <f aca="false">IF($K3="","",INDEX('All Devices (Master)'!$D:$D,$K3))</f>
        <v>X628</v>
      </c>
      <c r="C3" s="26" t="str">
        <f aca="false">IF($K3="","",INDEX('All Devices (Master)'!$E:$E,$K3))</f>
        <v>Thihariya</v>
      </c>
      <c r="D3" s="26" t="str">
        <f aca="false">IF($K3="","",INDEX('All Devices (Master)'!$F:$F,$K3))</f>
        <v>CDQ9193960102</v>
      </c>
      <c r="E3" s="26" t="str">
        <f aca="false">IF($K3="","",INDEX('All Devices (Master)'!$G:$G,$K3))</f>
        <v>Have to Repair</v>
      </c>
      <c r="F3" s="26" t="str">
        <f aca="false">IF($K3="","",IF(INDEX('All Devices (Master)'!$H:$H,$K3)=0,"",INDEX('All Devices (Master)'!$H:$H,$K3)))</f>
        <v/>
      </c>
      <c r="G3" s="26" t="str">
        <f aca="false">IF($K3="","",IF(INDEX('All Devices (Master)'!$I:$I,$K3)=0,"",INDEX('All Devices (Master)'!$I:$I,$K3)))</f>
        <v/>
      </c>
      <c r="H3" s="26" t="str">
        <f aca="false">IF($K3="","",IF(INDEX('All Devices (Master)'!$J:$J,$K3)=0,"",INDEX('All Devices (Master)'!$J:$J,$K3)))</f>
        <v>Colour</v>
      </c>
      <c r="I3" s="26" t="str">
        <f aca="false">IF($K3="","",INDEX('All Devices (Master)'!$V:$V,$K3))</f>
        <v>No fault detail given - needs technician inspection</v>
      </c>
      <c r="K3" s="1" t="n">
        <f aca="false">IFERROR(MATCH("U1-"&amp;1,'All Devices (Master)'!$U:$U,0),"")</f>
        <v>8</v>
      </c>
    </row>
    <row r="4" customFormat="false" ht="15" hidden="false" customHeight="true" outlineLevel="0" collapsed="false">
      <c r="A4" s="40" t="n">
        <f aca="false">IF($K4="","",2)</f>
        <v>2</v>
      </c>
      <c r="B4" s="32" t="str">
        <f aca="false">IF($K4="","",INDEX('All Devices (Master)'!$D:$D,$K4))</f>
        <v>TX628</v>
      </c>
      <c r="C4" s="32" t="str">
        <f aca="false">IF($K4="","",INDEX('All Devices (Master)'!$E:$E,$K4))</f>
        <v>Wadduwa</v>
      </c>
      <c r="D4" s="32" t="str">
        <f aca="false">IF($K4="","",INDEX('All Devices (Master)'!$F:$F,$K4))</f>
        <v>6160062170056</v>
      </c>
      <c r="E4" s="32" t="str">
        <f aca="false">IF($K4="","",INDEX('All Devices (Master)'!$G:$G,$K4))</f>
        <v>Working, Have to Repair</v>
      </c>
      <c r="F4" s="32" t="str">
        <f aca="false">IF($K4="","",IF(INDEX('All Devices (Master)'!$H:$H,$K4)=0,"",INDEX('All Devices (Master)'!$H:$H,$K4)))</f>
        <v/>
      </c>
      <c r="G4" s="32" t="str">
        <f aca="false">IF($K4="","",IF(INDEX('All Devices (Master)'!$I:$I,$K4)=0,"",INDEX('All Devices (Master)'!$I:$I,$K4)))</f>
        <v>Speaker is not working</v>
      </c>
      <c r="H4" s="32" t="str">
        <f aca="false">IF($K4="","",IF(INDEX('All Devices (Master)'!$J:$J,$K4)=0,"",INDEX('All Devices (Master)'!$J:$J,$K4)))</f>
        <v>Colour</v>
      </c>
      <c r="I4" s="32" t="str">
        <f aca="false">IF($K4="","",INDEX('All Devices (Master)'!$V:$V,$K4))</f>
        <v>Speaker fault only - needs manual box assignment</v>
      </c>
      <c r="K4" s="1" t="n">
        <f aca="false">IFERROR(MATCH("U1-"&amp;2,'All Devices (Master)'!$U:$U,0),"")</f>
        <v>60</v>
      </c>
    </row>
    <row r="5" customFormat="false" ht="15" hidden="false" customHeight="true" outlineLevel="0" collapsed="false">
      <c r="A5" s="39" t="n">
        <f aca="false">IF($K5="","",3)</f>
        <v>3</v>
      </c>
      <c r="B5" s="26" t="str">
        <f aca="false">IF($K5="","",INDEX('All Devices (Master)'!$D:$D,$K5))</f>
        <v>X628</v>
      </c>
      <c r="C5" s="26" t="str">
        <f aca="false">IF($K5="","",INDEX('All Devices (Master)'!$E:$E,$K5))</f>
        <v>Pitakotte 02</v>
      </c>
      <c r="D5" s="26" t="str">
        <f aca="false">IF($K5="","",INDEX('All Devices (Master)'!$F:$F,$K5))</f>
        <v>Empty</v>
      </c>
      <c r="E5" s="26" t="str">
        <f aca="false">IF($K5="","",INDEX('All Devices (Master)'!$G:$G,$K5))</f>
        <v>Working</v>
      </c>
      <c r="F5" s="26" t="str">
        <f aca="false">IF($K5="","",IF(INDEX('All Devices (Master)'!$H:$H,$K5)=0,"",INDEX('All Devices (Master)'!$H:$H,$K5)))</f>
        <v>Emty Box</v>
      </c>
      <c r="G5" s="26" t="str">
        <f aca="false">IF($K5="","",IF(INDEX('All Devices (Master)'!$I:$I,$K5)=0,"",INDEX('All Devices (Master)'!$I:$I,$K5)))</f>
        <v>It was taken to Piliyandala for a temporary installation.</v>
      </c>
      <c r="H5" s="26" t="str">
        <f aca="false">IF($K5="","",IF(INDEX('All Devices (Master)'!$J:$J,$K5)=0,"",INDEX('All Devices (Master)'!$J:$J,$K5)))</f>
        <v>Colour</v>
      </c>
      <c r="I5" s="26" t="str">
        <f aca="false">IF($K5="","",INDEX('All Devices (Master)'!$V:$V,$K5))</f>
        <v>Empty box - no physical device, verify status</v>
      </c>
      <c r="K5" s="1" t="n">
        <f aca="false">IFERROR(MATCH("U1-"&amp;3,'All Devices (Master)'!$U:$U,0),"")</f>
        <v>93</v>
      </c>
    </row>
    <row r="6" customFormat="false" ht="15" hidden="false" customHeight="true" outlineLevel="0" collapsed="false">
      <c r="A6" s="40" t="n">
        <f aca="false">IF($K6="","",4)</f>
        <v>4</v>
      </c>
      <c r="B6" s="32" t="str">
        <f aca="false">IF($K6="","",INDEX('All Devices (Master)'!$D:$D,$K6))</f>
        <v>X628 Plus</v>
      </c>
      <c r="C6" s="32" t="str">
        <f aca="false">IF($K6="","",INDEX('All Devices (Master)'!$E:$E,$K6))</f>
        <v>Wennapuwa</v>
      </c>
      <c r="D6" s="32" t="str">
        <f aca="false">IF($K6="","",INDEX('All Devices (Master)'!$F:$F,$K6))</f>
        <v>A5SA182660001</v>
      </c>
      <c r="E6" s="32" t="str">
        <f aca="false">IF($K6="","",INDEX('All Devices (Master)'!$G:$G,$K6))</f>
        <v>Working, Have to Repair</v>
      </c>
      <c r="F6" s="32" t="str">
        <f aca="false">IF($K6="","",IF(INDEX('All Devices (Master)'!$H:$H,$K6)=0,"",INDEX('All Devices (Master)'!$H:$H,$K6)))</f>
        <v/>
      </c>
      <c r="G6" s="32" t="str">
        <f aca="false">IF($K6="","",IF(INDEX('All Devices (Master)'!$I:$I,$K6)=0,"",INDEX('All Devices (Master)'!$I:$I,$K6)))</f>
        <v>Speaker is not working</v>
      </c>
      <c r="H6" s="32" t="str">
        <f aca="false">IF($K6="","",IF(INDEX('All Devices (Master)'!$J:$J,$K6)=0,"",INDEX('All Devices (Master)'!$J:$J,$K6)))</f>
        <v>Black &amp; White</v>
      </c>
      <c r="I6" s="32" t="str">
        <f aca="false">IF($K6="","",INDEX('All Devices (Master)'!$V:$V,$K6))</f>
        <v>Speaker fault only - needs manual box assignment</v>
      </c>
      <c r="K6" s="1" t="n">
        <f aca="false">IFERROR(MATCH("U1-"&amp;4,'All Devices (Master)'!$U:$U,0),"")</f>
        <v>142</v>
      </c>
    </row>
    <row r="7" customFormat="false" ht="15" hidden="false" customHeight="true" outlineLevel="0" collapsed="false">
      <c r="A7" s="39" t="str">
        <f aca="false">IF($K7="","",5)</f>
        <v/>
      </c>
      <c r="B7" s="26" t="str">
        <f aca="false">IF($K7="","",INDEX('All Devices (Master)'!$D:$D,$K7))</f>
        <v/>
      </c>
      <c r="C7" s="26" t="str">
        <f aca="false">IF($K7="","",INDEX('All Devices (Master)'!$E:$E,$K7))</f>
        <v/>
      </c>
      <c r="D7" s="26" t="str">
        <f aca="false">IF($K7="","",INDEX('All Devices (Master)'!$F:$F,$K7))</f>
        <v/>
      </c>
      <c r="E7" s="26" t="str">
        <f aca="false">IF($K7="","",INDEX('All Devices (Master)'!$G:$G,$K7))</f>
        <v/>
      </c>
      <c r="F7" s="26" t="str">
        <f aca="false">IF($K7="","",IF(INDEX('All Devices (Master)'!$H:$H,$K7)=0,"",INDEX('All Devices (Master)'!$H:$H,$K7)))</f>
        <v/>
      </c>
      <c r="G7" s="26" t="str">
        <f aca="false">IF($K7="","",IF(INDEX('All Devices (Master)'!$I:$I,$K7)=0,"",INDEX('All Devices (Master)'!$I:$I,$K7)))</f>
        <v/>
      </c>
      <c r="H7" s="26" t="str">
        <f aca="false">IF($K7="","",IF(INDEX('All Devices (Master)'!$J:$J,$K7)=0,"",INDEX('All Devices (Master)'!$J:$J,$K7)))</f>
        <v/>
      </c>
      <c r="I7" s="26" t="str">
        <f aca="false">IF($K7="","",INDEX('All Devices (Master)'!$V:$V,$K7))</f>
        <v/>
      </c>
      <c r="K7" s="1" t="str">
        <f aca="false">IFERROR(MATCH("U1-"&amp;5,'All Devices (Master)'!$U:$U,0),"")</f>
        <v/>
      </c>
    </row>
    <row r="8" customFormat="false" ht="15" hidden="false" customHeight="true" outlineLevel="0" collapsed="false">
      <c r="A8" s="40" t="str">
        <f aca="false">IF($K8="","",6)</f>
        <v/>
      </c>
      <c r="B8" s="32" t="str">
        <f aca="false">IF($K8="","",INDEX('All Devices (Master)'!$D:$D,$K8))</f>
        <v/>
      </c>
      <c r="C8" s="32" t="str">
        <f aca="false">IF($K8="","",INDEX('All Devices (Master)'!$E:$E,$K8))</f>
        <v/>
      </c>
      <c r="D8" s="32" t="str">
        <f aca="false">IF($K8="","",INDEX('All Devices (Master)'!$F:$F,$K8))</f>
        <v/>
      </c>
      <c r="E8" s="32" t="str">
        <f aca="false">IF($K8="","",INDEX('All Devices (Master)'!$G:$G,$K8))</f>
        <v/>
      </c>
      <c r="F8" s="32" t="str">
        <f aca="false">IF($K8="","",IF(INDEX('All Devices (Master)'!$H:$H,$K8)=0,"",INDEX('All Devices (Master)'!$H:$H,$K8)))</f>
        <v/>
      </c>
      <c r="G8" s="32" t="str">
        <f aca="false">IF($K8="","",IF(INDEX('All Devices (Master)'!$I:$I,$K8)=0,"",INDEX('All Devices (Master)'!$I:$I,$K8)))</f>
        <v/>
      </c>
      <c r="H8" s="32" t="str">
        <f aca="false">IF($K8="","",IF(INDEX('All Devices (Master)'!$J:$J,$K8)=0,"",INDEX('All Devices (Master)'!$J:$J,$K8)))</f>
        <v/>
      </c>
      <c r="I8" s="32" t="str">
        <f aca="false">IF($K8="","",INDEX('All Devices (Master)'!$V:$V,$K8))</f>
        <v/>
      </c>
      <c r="K8" s="1" t="str">
        <f aca="false">IFERROR(MATCH("U1-"&amp;6,'All Devices (Master)'!$U:$U,0),"")</f>
        <v/>
      </c>
    </row>
    <row r="9" customFormat="false" ht="15" hidden="false" customHeight="true" outlineLevel="0" collapsed="false">
      <c r="A9" s="39" t="str">
        <f aca="false">IF($K9="","",7)</f>
        <v/>
      </c>
      <c r="B9" s="26" t="str">
        <f aca="false">IF($K9="","",INDEX('All Devices (Master)'!$D:$D,$K9))</f>
        <v/>
      </c>
      <c r="C9" s="26" t="str">
        <f aca="false">IF($K9="","",INDEX('All Devices (Master)'!$E:$E,$K9))</f>
        <v/>
      </c>
      <c r="D9" s="26" t="str">
        <f aca="false">IF($K9="","",INDEX('All Devices (Master)'!$F:$F,$K9))</f>
        <v/>
      </c>
      <c r="E9" s="26" t="str">
        <f aca="false">IF($K9="","",INDEX('All Devices (Master)'!$G:$G,$K9))</f>
        <v/>
      </c>
      <c r="F9" s="26" t="str">
        <f aca="false">IF($K9="","",IF(INDEX('All Devices (Master)'!$H:$H,$K9)=0,"",INDEX('All Devices (Master)'!$H:$H,$K9)))</f>
        <v/>
      </c>
      <c r="G9" s="26" t="str">
        <f aca="false">IF($K9="","",IF(INDEX('All Devices (Master)'!$I:$I,$K9)=0,"",INDEX('All Devices (Master)'!$I:$I,$K9)))</f>
        <v/>
      </c>
      <c r="H9" s="26" t="str">
        <f aca="false">IF($K9="","",IF(INDEX('All Devices (Master)'!$J:$J,$K9)=0,"",INDEX('All Devices (Master)'!$J:$J,$K9)))</f>
        <v/>
      </c>
      <c r="I9" s="26" t="str">
        <f aca="false">IF($K9="","",INDEX('All Devices (Master)'!$V:$V,$K9))</f>
        <v/>
      </c>
      <c r="K9" s="1" t="str">
        <f aca="false">IFERROR(MATCH("U1-"&amp;7,'All Devices (Master)'!$U:$U,0),"")</f>
        <v/>
      </c>
    </row>
    <row r="10" customFormat="false" ht="15" hidden="false" customHeight="true" outlineLevel="0" collapsed="false">
      <c r="A10" s="40" t="str">
        <f aca="false">IF($K10="","",8)</f>
        <v/>
      </c>
      <c r="B10" s="32" t="str">
        <f aca="false">IF($K10="","",INDEX('All Devices (Master)'!$D:$D,$K10))</f>
        <v/>
      </c>
      <c r="C10" s="32" t="str">
        <f aca="false">IF($K10="","",INDEX('All Devices (Master)'!$E:$E,$K10))</f>
        <v/>
      </c>
      <c r="D10" s="32" t="str">
        <f aca="false">IF($K10="","",INDEX('All Devices (Master)'!$F:$F,$K10))</f>
        <v/>
      </c>
      <c r="E10" s="32" t="str">
        <f aca="false">IF($K10="","",INDEX('All Devices (Master)'!$G:$G,$K10))</f>
        <v/>
      </c>
      <c r="F10" s="32" t="str">
        <f aca="false">IF($K10="","",IF(INDEX('All Devices (Master)'!$H:$H,$K10)=0,"",INDEX('All Devices (Master)'!$H:$H,$K10)))</f>
        <v/>
      </c>
      <c r="G10" s="32" t="str">
        <f aca="false">IF($K10="","",IF(INDEX('All Devices (Master)'!$I:$I,$K10)=0,"",INDEX('All Devices (Master)'!$I:$I,$K10)))</f>
        <v/>
      </c>
      <c r="H10" s="32" t="str">
        <f aca="false">IF($K10="","",IF(INDEX('All Devices (Master)'!$J:$J,$K10)=0,"",INDEX('All Devices (Master)'!$J:$J,$K10)))</f>
        <v/>
      </c>
      <c r="I10" s="32" t="str">
        <f aca="false">IF($K10="","",INDEX('All Devices (Master)'!$V:$V,$K10))</f>
        <v/>
      </c>
      <c r="K10" s="1" t="str">
        <f aca="false">IFERROR(MATCH("U1-"&amp;8,'All Devices (Master)'!$U:$U,0),"")</f>
        <v/>
      </c>
    </row>
    <row r="11" customFormat="false" ht="15" hidden="false" customHeight="true" outlineLevel="0" collapsed="false">
      <c r="A11" s="39" t="str">
        <f aca="false">IF($K11="","",9)</f>
        <v/>
      </c>
      <c r="B11" s="26" t="str">
        <f aca="false">IF($K11="","",INDEX('All Devices (Master)'!$D:$D,$K11))</f>
        <v/>
      </c>
      <c r="C11" s="26" t="str">
        <f aca="false">IF($K11="","",INDEX('All Devices (Master)'!$E:$E,$K11))</f>
        <v/>
      </c>
      <c r="D11" s="26" t="str">
        <f aca="false">IF($K11="","",INDEX('All Devices (Master)'!$F:$F,$K11))</f>
        <v/>
      </c>
      <c r="E11" s="26" t="str">
        <f aca="false">IF($K11="","",INDEX('All Devices (Master)'!$G:$G,$K11))</f>
        <v/>
      </c>
      <c r="F11" s="26" t="str">
        <f aca="false">IF($K11="","",IF(INDEX('All Devices (Master)'!$H:$H,$K11)=0,"",INDEX('All Devices (Master)'!$H:$H,$K11)))</f>
        <v/>
      </c>
      <c r="G11" s="26" t="str">
        <f aca="false">IF($K11="","",IF(INDEX('All Devices (Master)'!$I:$I,$K11)=0,"",INDEX('All Devices (Master)'!$I:$I,$K11)))</f>
        <v/>
      </c>
      <c r="H11" s="26" t="str">
        <f aca="false">IF($K11="","",IF(INDEX('All Devices (Master)'!$J:$J,$K11)=0,"",INDEX('All Devices (Master)'!$J:$J,$K11)))</f>
        <v/>
      </c>
      <c r="I11" s="26" t="str">
        <f aca="false">IF($K11="","",INDEX('All Devices (Master)'!$V:$V,$K11))</f>
        <v/>
      </c>
      <c r="K11" s="1" t="str">
        <f aca="false">IFERROR(MATCH("U1-"&amp;9,'All Devices (Master)'!$U:$U,0),"")</f>
        <v/>
      </c>
    </row>
    <row r="12" customFormat="false" ht="15" hidden="false" customHeight="true" outlineLevel="0" collapsed="false">
      <c r="A12" s="40" t="str">
        <f aca="false">IF($K12="","",10)</f>
        <v/>
      </c>
      <c r="B12" s="32" t="str">
        <f aca="false">IF($K12="","",INDEX('All Devices (Master)'!$D:$D,$K12))</f>
        <v/>
      </c>
      <c r="C12" s="32" t="str">
        <f aca="false">IF($K12="","",INDEX('All Devices (Master)'!$E:$E,$K12))</f>
        <v/>
      </c>
      <c r="D12" s="32" t="str">
        <f aca="false">IF($K12="","",INDEX('All Devices (Master)'!$F:$F,$K12))</f>
        <v/>
      </c>
      <c r="E12" s="32" t="str">
        <f aca="false">IF($K12="","",INDEX('All Devices (Master)'!$G:$G,$K12))</f>
        <v/>
      </c>
      <c r="F12" s="32" t="str">
        <f aca="false">IF($K12="","",IF(INDEX('All Devices (Master)'!$H:$H,$K12)=0,"",INDEX('All Devices (Master)'!$H:$H,$K12)))</f>
        <v/>
      </c>
      <c r="G12" s="32" t="str">
        <f aca="false">IF($K12="","",IF(INDEX('All Devices (Master)'!$I:$I,$K12)=0,"",INDEX('All Devices (Master)'!$I:$I,$K12)))</f>
        <v/>
      </c>
      <c r="H12" s="32" t="str">
        <f aca="false">IF($K12="","",IF(INDEX('All Devices (Master)'!$J:$J,$K12)=0,"",INDEX('All Devices (Master)'!$J:$J,$K12)))</f>
        <v/>
      </c>
      <c r="I12" s="32" t="str">
        <f aca="false">IF($K12="","",INDEX('All Devices (Master)'!$V:$V,$K12))</f>
        <v/>
      </c>
      <c r="K12" s="1" t="str">
        <f aca="false">IFERROR(MATCH("U1-"&amp;10,'All Devices (Master)'!$U:$U,0),"")</f>
        <v/>
      </c>
    </row>
    <row r="13" customFormat="false" ht="15" hidden="false" customHeight="true" outlineLevel="0" collapsed="false">
      <c r="A13" s="39" t="str">
        <f aca="false">IF($K13="","",11)</f>
        <v/>
      </c>
      <c r="B13" s="26" t="str">
        <f aca="false">IF($K13="","",INDEX('All Devices (Master)'!$D:$D,$K13))</f>
        <v/>
      </c>
      <c r="C13" s="26" t="str">
        <f aca="false">IF($K13="","",INDEX('All Devices (Master)'!$E:$E,$K13))</f>
        <v/>
      </c>
      <c r="D13" s="26" t="str">
        <f aca="false">IF($K13="","",INDEX('All Devices (Master)'!$F:$F,$K13))</f>
        <v/>
      </c>
      <c r="E13" s="26" t="str">
        <f aca="false">IF($K13="","",INDEX('All Devices (Master)'!$G:$G,$K13))</f>
        <v/>
      </c>
      <c r="F13" s="26" t="str">
        <f aca="false">IF($K13="","",IF(INDEX('All Devices (Master)'!$H:$H,$K13)=0,"",INDEX('All Devices (Master)'!$H:$H,$K13)))</f>
        <v/>
      </c>
      <c r="G13" s="26" t="str">
        <f aca="false">IF($K13="","",IF(INDEX('All Devices (Master)'!$I:$I,$K13)=0,"",INDEX('All Devices (Master)'!$I:$I,$K13)))</f>
        <v/>
      </c>
      <c r="H13" s="26" t="str">
        <f aca="false">IF($K13="","",IF(INDEX('All Devices (Master)'!$J:$J,$K13)=0,"",INDEX('All Devices (Master)'!$J:$J,$K13)))</f>
        <v/>
      </c>
      <c r="I13" s="26" t="str">
        <f aca="false">IF($K13="","",INDEX('All Devices (Master)'!$V:$V,$K13))</f>
        <v/>
      </c>
      <c r="K13" s="1" t="str">
        <f aca="false">IFERROR(MATCH("U1-"&amp;11,'All Devices (Master)'!$U:$U,0),"")</f>
        <v/>
      </c>
    </row>
    <row r="14" customFormat="false" ht="15" hidden="false" customHeight="true" outlineLevel="0" collapsed="false">
      <c r="A14" s="40" t="str">
        <f aca="false">IF($K14="","",12)</f>
        <v/>
      </c>
      <c r="B14" s="32" t="str">
        <f aca="false">IF($K14="","",INDEX('All Devices (Master)'!$D:$D,$K14))</f>
        <v/>
      </c>
      <c r="C14" s="32" t="str">
        <f aca="false">IF($K14="","",INDEX('All Devices (Master)'!$E:$E,$K14))</f>
        <v/>
      </c>
      <c r="D14" s="32" t="str">
        <f aca="false">IF($K14="","",INDEX('All Devices (Master)'!$F:$F,$K14))</f>
        <v/>
      </c>
      <c r="E14" s="32" t="str">
        <f aca="false">IF($K14="","",INDEX('All Devices (Master)'!$G:$G,$K14))</f>
        <v/>
      </c>
      <c r="F14" s="32" t="str">
        <f aca="false">IF($K14="","",IF(INDEX('All Devices (Master)'!$H:$H,$K14)=0,"",INDEX('All Devices (Master)'!$H:$H,$K14)))</f>
        <v/>
      </c>
      <c r="G14" s="32" t="str">
        <f aca="false">IF($K14="","",IF(INDEX('All Devices (Master)'!$I:$I,$K14)=0,"",INDEX('All Devices (Master)'!$I:$I,$K14)))</f>
        <v/>
      </c>
      <c r="H14" s="32" t="str">
        <f aca="false">IF($K14="","",IF(INDEX('All Devices (Master)'!$J:$J,$K14)=0,"",INDEX('All Devices (Master)'!$J:$J,$K14)))</f>
        <v/>
      </c>
      <c r="I14" s="32" t="str">
        <f aca="false">IF($K14="","",INDEX('All Devices (Master)'!$V:$V,$K14))</f>
        <v/>
      </c>
      <c r="K14" s="1" t="str">
        <f aca="false">IFERROR(MATCH("U1-"&amp;12,'All Devices (Master)'!$U:$U,0),"")</f>
        <v/>
      </c>
    </row>
    <row r="15" customFormat="false" ht="15" hidden="false" customHeight="true" outlineLevel="0" collapsed="false">
      <c r="A15" s="39" t="str">
        <f aca="false">IF($K15="","",13)</f>
        <v/>
      </c>
      <c r="B15" s="26" t="str">
        <f aca="false">IF($K15="","",INDEX('All Devices (Master)'!$D:$D,$K15))</f>
        <v/>
      </c>
      <c r="C15" s="26" t="str">
        <f aca="false">IF($K15="","",INDEX('All Devices (Master)'!$E:$E,$K15))</f>
        <v/>
      </c>
      <c r="D15" s="26" t="str">
        <f aca="false">IF($K15="","",INDEX('All Devices (Master)'!$F:$F,$K15))</f>
        <v/>
      </c>
      <c r="E15" s="26" t="str">
        <f aca="false">IF($K15="","",INDEX('All Devices (Master)'!$G:$G,$K15))</f>
        <v/>
      </c>
      <c r="F15" s="26" t="str">
        <f aca="false">IF($K15="","",IF(INDEX('All Devices (Master)'!$H:$H,$K15)=0,"",INDEX('All Devices (Master)'!$H:$H,$K15)))</f>
        <v/>
      </c>
      <c r="G15" s="26" t="str">
        <f aca="false">IF($K15="","",IF(INDEX('All Devices (Master)'!$I:$I,$K15)=0,"",INDEX('All Devices (Master)'!$I:$I,$K15)))</f>
        <v/>
      </c>
      <c r="H15" s="26" t="str">
        <f aca="false">IF($K15="","",IF(INDEX('All Devices (Master)'!$J:$J,$K15)=0,"",INDEX('All Devices (Master)'!$J:$J,$K15)))</f>
        <v/>
      </c>
      <c r="I15" s="26" t="str">
        <f aca="false">IF($K15="","",INDEX('All Devices (Master)'!$V:$V,$K15))</f>
        <v/>
      </c>
      <c r="K15" s="1" t="str">
        <f aca="false">IFERROR(MATCH("U1-"&amp;13,'All Devices (Master)'!$U:$U,0),"")</f>
        <v/>
      </c>
    </row>
    <row r="16" customFormat="false" ht="15" hidden="false" customHeight="true" outlineLevel="0" collapsed="false">
      <c r="A16" s="40" t="str">
        <f aca="false">IF($K16="","",14)</f>
        <v/>
      </c>
      <c r="B16" s="32" t="str">
        <f aca="false">IF($K16="","",INDEX('All Devices (Master)'!$D:$D,$K16))</f>
        <v/>
      </c>
      <c r="C16" s="32" t="str">
        <f aca="false">IF($K16="","",INDEX('All Devices (Master)'!$E:$E,$K16))</f>
        <v/>
      </c>
      <c r="D16" s="32" t="str">
        <f aca="false">IF($K16="","",INDEX('All Devices (Master)'!$F:$F,$K16))</f>
        <v/>
      </c>
      <c r="E16" s="32" t="str">
        <f aca="false">IF($K16="","",INDEX('All Devices (Master)'!$G:$G,$K16))</f>
        <v/>
      </c>
      <c r="F16" s="32" t="str">
        <f aca="false">IF($K16="","",IF(INDEX('All Devices (Master)'!$H:$H,$K16)=0,"",INDEX('All Devices (Master)'!$H:$H,$K16)))</f>
        <v/>
      </c>
      <c r="G16" s="32" t="str">
        <f aca="false">IF($K16="","",IF(INDEX('All Devices (Master)'!$I:$I,$K16)=0,"",INDEX('All Devices (Master)'!$I:$I,$K16)))</f>
        <v/>
      </c>
      <c r="H16" s="32" t="str">
        <f aca="false">IF($K16="","",IF(INDEX('All Devices (Master)'!$J:$J,$K16)=0,"",INDEX('All Devices (Master)'!$J:$J,$K16)))</f>
        <v/>
      </c>
      <c r="I16" s="32" t="str">
        <f aca="false">IF($K16="","",INDEX('All Devices (Master)'!$V:$V,$K16))</f>
        <v/>
      </c>
      <c r="K16" s="1" t="str">
        <f aca="false">IFERROR(MATCH("U1-"&amp;14,'All Devices (Master)'!$U:$U,0),"")</f>
        <v/>
      </c>
    </row>
    <row r="17" customFormat="false" ht="15" hidden="false" customHeight="true" outlineLevel="0" collapsed="false">
      <c r="A17" s="39" t="str">
        <f aca="false">IF($K17="","",15)</f>
        <v/>
      </c>
      <c r="B17" s="26" t="str">
        <f aca="false">IF($K17="","",INDEX('All Devices (Master)'!$D:$D,$K17))</f>
        <v/>
      </c>
      <c r="C17" s="26" t="str">
        <f aca="false">IF($K17="","",INDEX('All Devices (Master)'!$E:$E,$K17))</f>
        <v/>
      </c>
      <c r="D17" s="26" t="str">
        <f aca="false">IF($K17="","",INDEX('All Devices (Master)'!$F:$F,$K17))</f>
        <v/>
      </c>
      <c r="E17" s="26" t="str">
        <f aca="false">IF($K17="","",INDEX('All Devices (Master)'!$G:$G,$K17))</f>
        <v/>
      </c>
      <c r="F17" s="26" t="str">
        <f aca="false">IF($K17="","",IF(INDEX('All Devices (Master)'!$H:$H,$K17)=0,"",INDEX('All Devices (Master)'!$H:$H,$K17)))</f>
        <v/>
      </c>
      <c r="G17" s="26" t="str">
        <f aca="false">IF($K17="","",IF(INDEX('All Devices (Master)'!$I:$I,$K17)=0,"",INDEX('All Devices (Master)'!$I:$I,$K17)))</f>
        <v/>
      </c>
      <c r="H17" s="26" t="str">
        <f aca="false">IF($K17="","",IF(INDEX('All Devices (Master)'!$J:$J,$K17)=0,"",INDEX('All Devices (Master)'!$J:$J,$K17)))</f>
        <v/>
      </c>
      <c r="I17" s="26" t="str">
        <f aca="false">IF($K17="","",INDEX('All Devices (Master)'!$V:$V,$K17))</f>
        <v/>
      </c>
      <c r="K17" s="1" t="str">
        <f aca="false">IFERROR(MATCH("U1-"&amp;15,'All Devices (Master)'!$U:$U,0),"")</f>
        <v/>
      </c>
    </row>
    <row r="18" customFormat="false" ht="15" hidden="false" customHeight="true" outlineLevel="0" collapsed="false">
      <c r="A18" s="40" t="str">
        <f aca="false">IF($K18="","",16)</f>
        <v/>
      </c>
      <c r="B18" s="32" t="str">
        <f aca="false">IF($K18="","",INDEX('All Devices (Master)'!$D:$D,$K18))</f>
        <v/>
      </c>
      <c r="C18" s="32" t="str">
        <f aca="false">IF($K18="","",INDEX('All Devices (Master)'!$E:$E,$K18))</f>
        <v/>
      </c>
      <c r="D18" s="32" t="str">
        <f aca="false">IF($K18="","",INDEX('All Devices (Master)'!$F:$F,$K18))</f>
        <v/>
      </c>
      <c r="E18" s="32" t="str">
        <f aca="false">IF($K18="","",INDEX('All Devices (Master)'!$G:$G,$K18))</f>
        <v/>
      </c>
      <c r="F18" s="32" t="str">
        <f aca="false">IF($K18="","",IF(INDEX('All Devices (Master)'!$H:$H,$K18)=0,"",INDEX('All Devices (Master)'!$H:$H,$K18)))</f>
        <v/>
      </c>
      <c r="G18" s="32" t="str">
        <f aca="false">IF($K18="","",IF(INDEX('All Devices (Master)'!$I:$I,$K18)=0,"",INDEX('All Devices (Master)'!$I:$I,$K18)))</f>
        <v/>
      </c>
      <c r="H18" s="32" t="str">
        <f aca="false">IF($K18="","",IF(INDEX('All Devices (Master)'!$J:$J,$K18)=0,"",INDEX('All Devices (Master)'!$J:$J,$K18)))</f>
        <v/>
      </c>
      <c r="I18" s="32" t="str">
        <f aca="false">IF($K18="","",INDEX('All Devices (Master)'!$V:$V,$K18))</f>
        <v/>
      </c>
      <c r="K18" s="1" t="str">
        <f aca="false">IFERROR(MATCH("U1-"&amp;16,'All Devices (Master)'!$U:$U,0),"")</f>
        <v/>
      </c>
    </row>
    <row r="19" customFormat="false" ht="15" hidden="false" customHeight="true" outlineLevel="0" collapsed="false">
      <c r="A19" s="39" t="str">
        <f aca="false">IF($K19="","",17)</f>
        <v/>
      </c>
      <c r="B19" s="26" t="str">
        <f aca="false">IF($K19="","",INDEX('All Devices (Master)'!$D:$D,$K19))</f>
        <v/>
      </c>
      <c r="C19" s="26" t="str">
        <f aca="false">IF($K19="","",INDEX('All Devices (Master)'!$E:$E,$K19))</f>
        <v/>
      </c>
      <c r="D19" s="26" t="str">
        <f aca="false">IF($K19="","",INDEX('All Devices (Master)'!$F:$F,$K19))</f>
        <v/>
      </c>
      <c r="E19" s="26" t="str">
        <f aca="false">IF($K19="","",INDEX('All Devices (Master)'!$G:$G,$K19))</f>
        <v/>
      </c>
      <c r="F19" s="26" t="str">
        <f aca="false">IF($K19="","",IF(INDEX('All Devices (Master)'!$H:$H,$K19)=0,"",INDEX('All Devices (Master)'!$H:$H,$K19)))</f>
        <v/>
      </c>
      <c r="G19" s="26" t="str">
        <f aca="false">IF($K19="","",IF(INDEX('All Devices (Master)'!$I:$I,$K19)=0,"",INDEX('All Devices (Master)'!$I:$I,$K19)))</f>
        <v/>
      </c>
      <c r="H19" s="26" t="str">
        <f aca="false">IF($K19="","",IF(INDEX('All Devices (Master)'!$J:$J,$K19)=0,"",INDEX('All Devices (Master)'!$J:$J,$K19)))</f>
        <v/>
      </c>
      <c r="I19" s="26" t="str">
        <f aca="false">IF($K19="","",INDEX('All Devices (Master)'!$V:$V,$K19))</f>
        <v/>
      </c>
      <c r="K19" s="1" t="str">
        <f aca="false">IFERROR(MATCH("U1-"&amp;17,'All Devices (Master)'!$U:$U,0),"")</f>
        <v/>
      </c>
    </row>
    <row r="20" customFormat="false" ht="15" hidden="false" customHeight="true" outlineLevel="0" collapsed="false">
      <c r="A20" s="40" t="str">
        <f aca="false">IF($K20="","",18)</f>
        <v/>
      </c>
      <c r="B20" s="32" t="str">
        <f aca="false">IF($K20="","",INDEX('All Devices (Master)'!$D:$D,$K20))</f>
        <v/>
      </c>
      <c r="C20" s="32" t="str">
        <f aca="false">IF($K20="","",INDEX('All Devices (Master)'!$E:$E,$K20))</f>
        <v/>
      </c>
      <c r="D20" s="32" t="str">
        <f aca="false">IF($K20="","",INDEX('All Devices (Master)'!$F:$F,$K20))</f>
        <v/>
      </c>
      <c r="E20" s="32" t="str">
        <f aca="false">IF($K20="","",INDEX('All Devices (Master)'!$G:$G,$K20))</f>
        <v/>
      </c>
      <c r="F20" s="32" t="str">
        <f aca="false">IF($K20="","",IF(INDEX('All Devices (Master)'!$H:$H,$K20)=0,"",INDEX('All Devices (Master)'!$H:$H,$K20)))</f>
        <v/>
      </c>
      <c r="G20" s="32" t="str">
        <f aca="false">IF($K20="","",IF(INDEX('All Devices (Master)'!$I:$I,$K20)=0,"",INDEX('All Devices (Master)'!$I:$I,$K20)))</f>
        <v/>
      </c>
      <c r="H20" s="32" t="str">
        <f aca="false">IF($K20="","",IF(INDEX('All Devices (Master)'!$J:$J,$K20)=0,"",INDEX('All Devices (Master)'!$J:$J,$K20)))</f>
        <v/>
      </c>
      <c r="I20" s="32" t="str">
        <f aca="false">IF($K20="","",INDEX('All Devices (Master)'!$V:$V,$K20))</f>
        <v/>
      </c>
      <c r="K20" s="1" t="str">
        <f aca="false">IFERROR(MATCH("U1-"&amp;18,'All Devices (Master)'!$U:$U,0),"")</f>
        <v/>
      </c>
    </row>
    <row r="21" customFormat="false" ht="15" hidden="false" customHeight="true" outlineLevel="0" collapsed="false">
      <c r="A21" s="39" t="str">
        <f aca="false">IF($K21="","",19)</f>
        <v/>
      </c>
      <c r="B21" s="26" t="str">
        <f aca="false">IF($K21="","",INDEX('All Devices (Master)'!$D:$D,$K21))</f>
        <v/>
      </c>
      <c r="C21" s="26" t="str">
        <f aca="false">IF($K21="","",INDEX('All Devices (Master)'!$E:$E,$K21))</f>
        <v/>
      </c>
      <c r="D21" s="26" t="str">
        <f aca="false">IF($K21="","",INDEX('All Devices (Master)'!$F:$F,$K21))</f>
        <v/>
      </c>
      <c r="E21" s="26" t="str">
        <f aca="false">IF($K21="","",INDEX('All Devices (Master)'!$G:$G,$K21))</f>
        <v/>
      </c>
      <c r="F21" s="26" t="str">
        <f aca="false">IF($K21="","",IF(INDEX('All Devices (Master)'!$H:$H,$K21)=0,"",INDEX('All Devices (Master)'!$H:$H,$K21)))</f>
        <v/>
      </c>
      <c r="G21" s="26" t="str">
        <f aca="false">IF($K21="","",IF(INDEX('All Devices (Master)'!$I:$I,$K21)=0,"",INDEX('All Devices (Master)'!$I:$I,$K21)))</f>
        <v/>
      </c>
      <c r="H21" s="26" t="str">
        <f aca="false">IF($K21="","",IF(INDEX('All Devices (Master)'!$J:$J,$K21)=0,"",INDEX('All Devices (Master)'!$J:$J,$K21)))</f>
        <v/>
      </c>
      <c r="I21" s="26" t="str">
        <f aca="false">IF($K21="","",INDEX('All Devices (Master)'!$V:$V,$K21))</f>
        <v/>
      </c>
      <c r="K21" s="1" t="str">
        <f aca="false">IFERROR(MATCH("U1-"&amp;19,'All Devices (Master)'!$U:$U,0),"")</f>
        <v/>
      </c>
    </row>
    <row r="22" customFormat="false" ht="15" hidden="false" customHeight="true" outlineLevel="0" collapsed="false">
      <c r="A22" s="40" t="str">
        <f aca="false">IF($K22="","",20)</f>
        <v/>
      </c>
      <c r="B22" s="32" t="str">
        <f aca="false">IF($K22="","",INDEX('All Devices (Master)'!$D:$D,$K22))</f>
        <v/>
      </c>
      <c r="C22" s="32" t="str">
        <f aca="false">IF($K22="","",INDEX('All Devices (Master)'!$E:$E,$K22))</f>
        <v/>
      </c>
      <c r="D22" s="32" t="str">
        <f aca="false">IF($K22="","",INDEX('All Devices (Master)'!$F:$F,$K22))</f>
        <v/>
      </c>
      <c r="E22" s="32" t="str">
        <f aca="false">IF($K22="","",INDEX('All Devices (Master)'!$G:$G,$K22))</f>
        <v/>
      </c>
      <c r="F22" s="32" t="str">
        <f aca="false">IF($K22="","",IF(INDEX('All Devices (Master)'!$H:$H,$K22)=0,"",INDEX('All Devices (Master)'!$H:$H,$K22)))</f>
        <v/>
      </c>
      <c r="G22" s="32" t="str">
        <f aca="false">IF($K22="","",IF(INDEX('All Devices (Master)'!$I:$I,$K22)=0,"",INDEX('All Devices (Master)'!$I:$I,$K22)))</f>
        <v/>
      </c>
      <c r="H22" s="32" t="str">
        <f aca="false">IF($K22="","",IF(INDEX('All Devices (Master)'!$J:$J,$K22)=0,"",INDEX('All Devices (Master)'!$J:$J,$K22)))</f>
        <v/>
      </c>
      <c r="I22" s="32" t="str">
        <f aca="false">IF($K22="","",INDEX('All Devices (Master)'!$V:$V,$K22))</f>
        <v/>
      </c>
      <c r="K22" s="1" t="str">
        <f aca="false">IFERROR(MATCH("U1-"&amp;20,'All Devices (Master)'!$U:$U,0),"")</f>
        <v/>
      </c>
    </row>
  </sheetData>
  <autoFilter ref="A2:I22"/>
  <mergeCells count="1">
    <mergeCell ref="A1:I1"/>
  </mergeCells>
  <conditionalFormatting sqref="I3:I22">
    <cfRule type="expression" priority="2" aboveAverage="0" equalAverage="0" bottom="0" percent="0" rank="0" text="" dxfId="8">
      <formula>I3&lt;&gt;""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2026-08-12T15:33:57Z</dcterms:created>
  <dc:creator>openpyxl</dc:creator>
  <dc:description/>
  <dc:language>en-US</dc:language>
  <cp:lastModifiedBy/>
  <dcterms:modified xsi:type="dcterms:W3CDTF">2026-08-12T15:41:49Z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